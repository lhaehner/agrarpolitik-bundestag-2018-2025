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484720361041fb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00_Wegweiser" sheetId="1" r:id="Rc359e5fc7c384272"/>
    <x:sheet name="01_Haupttabellen" sheetId="2" r:id="Rbe8b4fc81625433a"/>
    <x:sheet name="02_Fraktion_Jahr" sheetId="3" r:id="R476c360672284dab"/>
    <x:sheet name="03_Fraktionsvergleich" sheetId="4" r:id="R061371362d90422a"/>
    <x:sheet name="04_Themenzuordnungen" sheetId="5" r:id="Rfd4a62234c6d42c3"/>
    <x:sheet name="05_Unterthemen" sheetId="6" r:id="Rfc686f0bfc1e4b37"/>
    <x:sheet name="06_Agrardiesel" sheetId="7" r:id="R0ecac39338ba4d58"/>
    <x:sheet name="07_Wortwahl_Fleischwirtschaft" sheetId="8" r:id="Rbd0ce46c36a04cda"/>
    <x:sheet name="08_Kategorien" sheetId="9" r:id="R18e25a7f8d724c27"/>
    <x:sheet name="09_Amtsrollen" sheetId="10" r:id="Rcf97ff104beb4ea8"/>
    <x:sheet name="10_Kennzahlen" sheetId="11" r:id="R6127a5724c934e0a"/>
    <x:sheet name="11_Berechnungsbasis" sheetId="12" r:id="Rb1097afb4bc445ce"/>
    <x:sheet name="12_Begriffe_Suchregeln" sheetId="13" r:id="R7225cb2390584085"/>
    <x:sheet name="13_Datenstand" sheetId="14" r:id="Rf8f0d98a32b24da0"/>
  </x:sheet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0.0%"/>
    <x:numFmt numFmtId="202" formatCode="yyyy-mm-dd"/>
    <x:numFmt numFmtId="203" formatCode="#,##0"/>
    <x:numFmt numFmtId="204" formatCode="0"/>
  </x:numFmts>
  <x:fonts count="21">
    <x:font>
      <x:sz val="11"/>
      <x:name val="Carlito"/>
    </x:font>
    <x:font>
      <x:sz val="10"/>
      <x:color rgb="FF172B3A"/>
      <x:name val="Arial"/>
    </x:font>
    <x:font>
      <x:b/>
      <x:sz val="15"/>
      <x:color rgb="FF17365D"/>
      <x:name val="Arial"/>
    </x:font>
    <x:font>
      <x:sz val="10"/>
      <x:color rgb="FF526475"/>
      <x:name val="Arial"/>
    </x:font>
    <x:font>
      <x:b/>
      <x:sz val="11"/>
      <x:color rgb="FFFFFFFF"/>
      <x:name val="Arial"/>
    </x:font>
    <x:font>
      <x:sz val="11"/>
      <x:color rgb="FF263445"/>
      <x:name val="Arial"/>
    </x:font>
    <x:font>
      <x:b/>
      <x:sz val="11"/>
      <x:color rgb="FF17365D"/>
      <x:name val="Arial"/>
    </x:font>
    <x:font>
      <x:b/>
      <x:sz val="10"/>
      <x:color rgb="FFFFFFFF"/>
      <x:name val="Arial"/>
    </x:font>
    <x:font>
      <x:b/>
      <x:sz val="13"/>
      <x:color rgb="FF1F4E78"/>
      <x:name val="Arial"/>
    </x:font>
    <x:font>
      <x:b/>
      <x:sz val="10"/>
      <x:color rgb="FF172B3A"/>
      <x:name val="Arial"/>
    </x:font>
    <x:font>
      <x:sz val="11"/>
      <x:color rgb="FF172B3A"/>
      <x:name val="Arial"/>
    </x:font>
    <x:font>
      <x:b/>
      <x:sz val="11"/>
      <x:color rgb="FF172B3A"/>
      <x:name val="Arial"/>
    </x:font>
    <x:font>
      <x:sz val="10"/>
      <x:color rgb="FF243746"/>
      <x:name val="Arial"/>
    </x:font>
    <x:font>
      <x:b/>
      <x:sz val="15"/>
      <x:name val="Arial"/>
    </x:font>
    <x:font>
      <x:sz val="10"/>
      <x:name val="Arial"/>
    </x:font>
    <x:font>
      <x:b/>
      <x:sz val="11"/>
      <x:name val="Arial"/>
    </x:font>
    <x:font>
      <x:b/>
      <x:sz val="14"/>
      <x:color rgb="FF204E77"/>
      <x:name val="Arial"/>
    </x:font>
    <x:font>
      <x:sz val="10"/>
      <x:color rgb="FF23384A"/>
      <x:name val="Arial"/>
    </x:font>
    <x:font>
      <x:sz val="11"/>
      <x:name val="Calibri"/>
    </x:font>
    <x:font>
      <x:b/>
      <x:sz val="11"/>
      <x:color rgb="FFFFFFFF"/>
      <x:name val="Calibri"/>
    </x:font>
    <x:font>
      <x:sz val="11"/>
      <x:color rgb="FF172B3A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6FA"/>
      </x:patternFill>
    </x:fill>
    <x:fill>
      <x:patternFill patternType="solid">
        <x:fgColor rgb="FFFFFFFF"/>
      </x:patternFill>
    </x:fill>
    <x:fill>
      <x:patternFill patternType="solid">
        <x:fgColor rgb="FFF4F7FA"/>
      </x:patternFill>
    </x:fill>
    <x:fill>
      <x:patternFill patternType="solid">
        <x:fgColor rgb="FFE8F0E6"/>
      </x:patternFill>
    </x:fill>
    <x:fill>
      <x:patternFill patternType="solid">
        <x:fgColor rgb="FF204E77"/>
      </x:patternFill>
    </x:fill>
    <x:fill>
      <x:patternFill patternType="solid">
        <x:fgColor rgb="FF1F4E78"/>
      </x:patternFill>
    </x:fill>
    <x:fill>
      <x:patternFill patternType="solid">
        <x:fgColor rgb="FFF0F5FA"/>
      </x:patternFill>
    </x:fill>
    <x:fill>
      <x:patternFill patternType="solid">
        <x:fgColor rgb="FFFFFFFF"/>
      </x:patternFill>
    </x:fill>
  </x:fills>
  <x:borders count="9">
    <x:border>
      <x:left/>
      <x:right/>
      <x:top/>
      <x:bottom/>
      <x:diagonal/>
    </x:border>
    <x:border/>
    <x:border>
      <x:bottom style="thin">
        <x:color rgb="FFB7C9D9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  <x:border>
      <x:top style="thin">
        <x:color rgb="FFB7C9D9"/>
      </x:top>
    </x:border>
    <x:border>
      <x:bottom style="thin"/>
    </x:border>
    <x:border>
      <x:bottom style="thin">
        <x:color rgb="FFCAD7E2"/>
      </x:bottom>
    </x:border>
  </x:borders>
  <x:cellStyleXfs count="2">
    <x:xf numFmtId="0" fontId="0" fillId="0" borderId="0"/>
    <x:xf numFmtId="0" fontId="0" fillId="0" borderId="1"/>
  </x:cellStyleXfs>
  <x:cellXfs count="127">
    <x:xf numFmtId="0" fontId="0" fillId="0" borderId="0" xfId="0"/>
    <x:xf numFmtId="1" fontId="1" fillId="0" borderId="1" xfId="1" applyAlignment="1">
      <x:alignment vertical="center"/>
    </x:xf>
    <x:xf numFmtId="1" fontId="2" fillId="0" borderId="2" xfId="1" applyAlignment="1">
      <x:alignment vertical="center"/>
    </x:xf>
    <x:xf numFmtId="1" fontId="1" fillId="0" borderId="2" xfId="1" applyAlignment="1">
      <x:alignment vertical="center"/>
    </x:xf>
    <x:xf numFmtId="1" fontId="3" fillId="0" borderId="1" xfId="1" applyAlignment="1">
      <x:alignment vertical="center"/>
    </x:xf>
    <x:xf numFmtId="1" fontId="3" fillId="0" borderId="1" xfId="0" applyNumberFormat="1" applyFont="1" applyFill="1" applyBorder="1" applyAlignment="1">
      <x:alignment vertical="center" wrapText="1"/>
    </x:xf>
    <x:xf numFmtId="1" fontId="1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1" fontId="6" fillId="0" borderId="1" xfId="1" applyAlignment="1">
      <x:alignment vertical="center"/>
    </x:xf>
    <x:xf numFmtId="1" fontId="7" fillId="2" borderId="3" xfId="1" applyAlignment="1">
      <x:alignment horizontal="center" vertical="center" wrapText="1"/>
    </x:xf>
    <x:xf numFmtId="1" fontId="7" fillId="2" borderId="4" xfId="1" applyAlignment="1">
      <x:alignment horizontal="center" vertical="center" wrapText="1"/>
    </x:xf>
    <x:xf numFmtId="1" fontId="1" fillId="0" borderId="1" xfId="1" applyAlignment="1">
      <x:alignment vertical="center" wrapText="1"/>
    </x:xf>
    <x:xf numFmtId="3" fontId="1" fillId="0" borderId="1" xfId="1" applyAlignment="1">
      <x:alignment horizontal="right" vertical="center" wrapText="1"/>
    </x:xf>
    <x:xf numFmtId="1" fontId="1" fillId="5" borderId="1" xfId="1" applyAlignment="1">
      <x:alignment vertical="center" wrapText="1"/>
    </x:xf>
    <x:xf numFmtId="3" fontId="1" fillId="5" borderId="1" xfId="1" applyAlignment="1">
      <x:alignment horizontal="right" vertical="center" wrapText="1"/>
    </x:xf>
    <x:xf numFmtId="1" fontId="1" fillId="0" borderId="2" xfId="1" applyAlignment="1">
      <x:alignment vertical="center" wrapText="1"/>
    </x:xf>
    <x:xf numFmtId="3" fontId="1" fillId="0" borderId="2" xfId="1" applyAlignment="1">
      <x:alignment horizontal="right"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1" fontId="7" fillId="2" borderId="5" xfId="1" applyAlignment="1">
      <x:alignment horizontal="center" vertical="center" wrapText="1"/>
    </x:xf>
    <x:xf numFmtId="1" fontId="1" fillId="0" borderId="1" xfId="1" applyAlignment="1">
      <x:alignment horizontal="right" vertical="center" wrapText="1"/>
    </x:xf>
    <x:xf numFmtId="10" fontId="1" fillId="0" borderId="1" xfId="1" applyAlignment="1">
      <x:alignment horizontal="right" vertical="center" wrapText="1"/>
    </x:xf>
    <x:xf numFmtId="200" fontId="1" fillId="0" borderId="1" xfId="1" applyAlignment="1">
      <x:alignment horizontal="right" vertical="center" wrapText="1"/>
    </x:xf>
    <x:xf numFmtId="1" fontId="1" fillId="5" borderId="1" xfId="1" applyAlignment="1">
      <x:alignment horizontal="right" vertical="center" wrapText="1"/>
    </x:xf>
    <x:xf numFmtId="10" fontId="1" fillId="5" borderId="1" xfId="1" applyAlignment="1">
      <x:alignment horizontal="right" vertical="center" wrapText="1"/>
    </x:xf>
    <x:xf numFmtId="200" fontId="1" fillId="5" borderId="1" xfId="1" applyAlignment="1">
      <x:alignment horizontal="right" vertical="center" wrapText="1"/>
    </x:xf>
    <x:xf numFmtId="1" fontId="9" fillId="6" borderId="2" xfId="1" applyAlignment="1">
      <x:alignment horizontal="right" vertical="center" wrapText="1"/>
    </x:xf>
    <x:xf numFmtId="3" fontId="9" fillId="6" borderId="2" xfId="1" applyAlignment="1">
      <x:alignment horizontal="right" vertical="center" wrapText="1"/>
    </x:xf>
    <x:xf numFmtId="10" fontId="9" fillId="6" borderId="2" xfId="1" applyAlignment="1">
      <x:alignment horizontal="right" vertical="center" wrapText="1"/>
    </x:xf>
    <x:xf numFmtId="200" fontId="9" fillId="6" borderId="2" xfId="1" applyAlignment="1">
      <x:alignment horizontal="right" vertical="center" wrapText="1"/>
    </x:xf>
    <x:xf numFmtId="2" fontId="1" fillId="0" borderId="1" xfId="1" applyAlignment="1">
      <x:alignment horizontal="right" vertical="center" wrapText="1"/>
    </x:xf>
    <x:xf numFmtId="2" fontId="1" fillId="5" borderId="1" xfId="1" applyAlignment="1">
      <x:alignment horizontal="right" vertical="center" wrapText="1"/>
    </x:xf>
    <x:xf numFmtId="2" fontId="9" fillId="6" borderId="2" xfId="1" applyAlignment="1">
      <x:alignment horizontal="right" vertical="center" wrapText="1"/>
    </x:xf>
    <x:xf numFmtId="1" fontId="1" fillId="5" borderId="2" xfId="1" applyAlignment="1">
      <x:alignment vertical="center" wrapText="1"/>
    </x:xf>
    <x:xf numFmtId="3" fontId="1" fillId="5" borderId="2" xfId="1" applyAlignment="1">
      <x:alignment horizontal="right" vertical="center" wrapText="1"/>
    </x:xf>
    <x:xf numFmtId="10" fontId="1" fillId="5" borderId="2" xfId="1" applyAlignment="1">
      <x:alignment horizontal="right" vertical="center" wrapText="1"/>
    </x:xf>
    <x:xf numFmtId="2" fontId="1" fillId="0" borderId="2" xfId="1" applyAlignment="1">
      <x:alignment horizontal="right" vertical="center" wrapText="1"/>
    </x:xf>
    <x:xf numFmtId="1" fontId="9" fillId="6" borderId="2" xfId="1" applyAlignment="1">
      <x:alignment vertical="center" wrapText="1"/>
    </x:xf>
    <x:xf numFmtId="1" fontId="1" fillId="0" borderId="2" xfId="1" applyAlignment="1">
      <x:alignment horizontal="right" vertical="center" wrapText="1"/>
    </x:xf>
    <x:xf numFmtId="1" fontId="1" fillId="5" borderId="2" xfId="1" applyAlignment="1">
      <x:alignment horizontal="right" vertical="center" wrapText="1"/>
    </x:xf>
    <x:xf numFmtId="2" fontId="1" fillId="5" borderId="2" xfId="1" applyAlignment="1">
      <x:alignment horizontal="right" vertical="center" wrapText="1"/>
    </x:xf>
    <x:xf numFmtId="0" fontId="10" fillId="0" borderId="1" xfId="1" applyAlignment="1">
      <x:alignment vertical="center"/>
    </x:xf>
    <x:xf numFmtId="0" fontId="0" fillId="0" borderId="1" xfId="1"/>
    <x:xf numFmtId="0" fontId="2" fillId="0" borderId="2" xfId="1" applyAlignment="1">
      <x:alignment vertical="center"/>
    </x:xf>
    <x:xf numFmtId="0" fontId="10" fillId="0" borderId="2" xfId="1" applyAlignment="1">
      <x:alignment vertical="center"/>
    </x:xf>
    <x:xf numFmtId="0" fontId="3" fillId="0" borderId="1" xfId="1" applyAlignment="1">
      <x:alignment vertical="center"/>
    </x:xf>
    <x:xf numFmtId="0" fontId="4" fillId="2" borderId="3" xfId="1" applyAlignment="1">
      <x:alignment horizontal="center" vertical="center" wrapText="1"/>
    </x:xf>
    <x:xf numFmtId="0" fontId="4" fillId="2" borderId="5" xfId="1" applyAlignment="1">
      <x:alignment horizontal="center" vertical="center" wrapText="1"/>
    </x:xf>
    <x:xf numFmtId="0" fontId="4" fillId="2" borderId="4" xfId="1" applyAlignment="1">
      <x:alignment horizontal="center" vertical="center" wrapText="1"/>
    </x:xf>
    <x:xf numFmtId="0" fontId="0" fillId="0" borderId="1" xfId="1" applyAlignment="1">
      <x:alignment wrapText="1"/>
    </x:xf>
    <x:xf numFmtId="1" fontId="10" fillId="0" borderId="1" xfId="1" applyAlignment="1">
      <x:alignment horizontal="center" vertical="center"/>
    </x:xf>
    <x:xf numFmtId="3" fontId="10" fillId="0" borderId="1" xfId="1" applyAlignment="1">
      <x:alignment horizontal="right" vertical="center"/>
    </x:xf>
    <x:xf numFmtId="10" fontId="10" fillId="0" borderId="1" xfId="1" applyAlignment="1">
      <x:alignment horizontal="right" vertical="center"/>
    </x:xf>
    <x:xf numFmtId="1" fontId="10" fillId="5" borderId="1" xfId="1" applyAlignment="1">
      <x:alignment horizontal="center" vertical="center"/>
    </x:xf>
    <x:xf numFmtId="3" fontId="10" fillId="5" borderId="1" xfId="1" applyAlignment="1">
      <x:alignment horizontal="right" vertical="center"/>
    </x:xf>
    <x:xf numFmtId="10" fontId="10" fillId="5" borderId="1" xfId="1" applyAlignment="1">
      <x:alignment horizontal="right" vertical="center"/>
    </x:xf>
    <x:xf numFmtId="0" fontId="11" fillId="6" borderId="6" xfId="1" applyAlignment="1">
      <x:alignment vertical="center"/>
    </x:xf>
    <x:xf numFmtId="3" fontId="11" fillId="6" borderId="6" xfId="1" applyAlignment="1">
      <x:alignment horizontal="right" vertical="center"/>
    </x:xf>
    <x:xf numFmtId="10" fontId="11" fillId="6" borderId="6" xfId="1" applyAlignment="1">
      <x:alignment horizontal="right" vertical="center"/>
    </x:xf>
    <x:xf numFmtId="0" fontId="11" fillId="0" borderId="1" xfId="1" applyAlignment="1">
      <x:alignment vertical="center"/>
    </x:xf>
    <x:xf numFmtId="201" fontId="5" fillId="4" borderId="0" xfId="0" applyNumberFormat="1" applyFont="1" applyFill="1" applyBorder="1" applyAlignment="1">
      <x:alignment vertical="center" wrapText="1"/>
    </x:xf>
    <x:xf numFmtId="201" fontId="5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3" fontId="1" fillId="0" borderId="1" xfId="1" applyAlignment="1">
      <x:alignment vertical="center" wrapText="1"/>
    </x:xf>
    <x:xf numFmtId="3" fontId="1" fillId="5" borderId="1" xfId="1" applyAlignment="1">
      <x:alignment vertical="center" wrapText="1"/>
    </x:xf>
    <x:xf numFmtId="3" fontId="1" fillId="5" borderId="2" xfId="1" applyAlignment="1">
      <x:alignment vertical="center" wrapText="1"/>
    </x:xf>
    <x:xf numFmtId="1" fontId="12" fillId="0" borderId="1" xfId="1" applyAlignment="1">
      <x:alignment vertical="center" wrapText="1"/>
    </x:xf>
    <x:xf numFmtId="3" fontId="12" fillId="0" borderId="1" xfId="1" applyAlignment="1">
      <x:alignment vertical="center" wrapText="1"/>
    </x:xf>
    <x:xf numFmtId="10" fontId="12" fillId="0" borderId="1" xfId="1" applyAlignment="1">
      <x:alignment vertical="center" wrapText="1"/>
    </x:xf>
    <x:xf numFmtId="0" fontId="12" fillId="0" borderId="1" xfId="1" applyAlignment="1">
      <x:alignment vertical="center" wrapText="1"/>
    </x:xf>
    <x:xf numFmtId="0" fontId="13" fillId="0" borderId="7" xfId="1"/>
    <x:xf numFmtId="0" fontId="14" fillId="0" borderId="1" xfId="1"/>
    <x:xf numFmtId="0" fontId="15" fillId="0" borderId="1" xfId="1"/>
    <x:xf numFmtId="0" fontId="7" fillId="2" borderId="1" xfId="1" applyAlignment="1">
      <x:alignment horizontal="center" vertical="center" wrapText="1"/>
    </x:xf>
    <x:xf numFmtId="0" fontId="14" fillId="0" borderId="1" xfId="1" applyAlignment="1">
      <x:alignment horizontal="left" vertical="center"/>
    </x:xf>
    <x:xf numFmtId="0" fontId="14" fillId="0" borderId="1" xfId="1" applyAlignment="1">
      <x:alignment horizontal="right" vertical="center"/>
    </x:xf>
    <x:xf numFmtId="3" fontId="14" fillId="0" borderId="1" xfId="1" applyAlignment="1">
      <x:alignment horizontal="right" vertical="center"/>
    </x:xf>
    <x:xf numFmtId="201" fontId="14" fillId="0" borderId="1" xfId="1" applyAlignment="1">
      <x:alignment horizontal="right" vertical="center"/>
    </x:xf>
    <x:xf numFmtId="10" fontId="14" fillId="0" borderId="1" xfId="1" applyAlignment="1">
      <x:alignment horizontal="right" vertical="center"/>
    </x:xf>
    <x:xf numFmtId="2" fontId="14" fillId="0" borderId="1" xfId="1" applyAlignment="1">
      <x:alignment horizontal="right" vertical="center"/>
    </x:xf>
    <x:xf numFmtId="0" fontId="14" fillId="0" borderId="1" xfId="1" applyAlignment="1">
      <x:alignment horizontal="center" vertical="center" wrapText="1"/>
    </x:xf>
    <x:xf numFmtId="0" fontId="16" fillId="0" borderId="8" xfId="1"/>
    <x:xf numFmtId="0" fontId="17" fillId="0" borderId="8" xfId="1"/>
    <x:xf numFmtId="0" fontId="17" fillId="0" borderId="1" xfId="1" applyAlignment="1">
      <x:alignment wrapText="1"/>
    </x:xf>
    <x:xf numFmtId="0" fontId="17" fillId="0" borderId="1" xfId="1"/>
    <x:xf numFmtId="0" fontId="7" fillId="7" borderId="1" xfId="1" applyAlignment="1">
      <x:alignment horizontal="center" vertical="center" wrapText="1"/>
    </x:xf>
    <x:xf numFmtId="0" fontId="17" fillId="0" borderId="1" xfId="1" applyAlignment="1">
      <x:alignment vertical="center" wrapText="1"/>
    </x:xf>
    <x:xf numFmtId="0" fontId="17" fillId="0" borderId="1" xfId="1" applyAlignment="1">
      <x:alignment vertical="center"/>
    </x:xf>
    <x:xf numFmtId="2" fontId="17" fillId="0" borderId="1" xfId="1" applyAlignment="1">
      <x:alignment vertical="center"/>
    </x:xf>
    <x:xf numFmtId="202" fontId="1" fillId="0" borderId="1" xfId="1" applyAlignment="1">
      <x:alignment horizontal="center" vertical="center" wrapText="1"/>
    </x:xf>
    <x:xf numFmtId="202" fontId="1" fillId="5" borderId="1" xfId="1" applyAlignment="1">
      <x:alignment horizontal="center" vertical="center" wrapText="1"/>
    </x:xf>
    <x:xf numFmtId="202" fontId="1" fillId="0" borderId="2" xfId="1" applyAlignment="1">
      <x:alignment horizontal="center" vertical="center" wrapText="1"/>
    </x:xf>
    <x:xf numFmtId="0" fontId="14" fillId="0" borderId="1" xfId="1" applyAlignment="1">
      <x:alignment wrapText="1"/>
    </x:xf>
    <x:xf numFmtId="1" fontId="7" fillId="2" borderId="3" xfId="0" applyNumberFormat="1" applyFont="1" applyFill="1" applyBorder="1" applyAlignment="1">
      <x:alignment horizontal="center" vertical="center" wrapText="1"/>
    </x:xf>
    <x:xf numFmtId="1" fontId="7" fillId="2" borderId="5" xfId="0" applyNumberFormat="1" applyFont="1" applyFill="1" applyBorder="1" applyAlignment="1">
      <x:alignment horizontal="center" vertical="center" wrapText="1"/>
    </x:xf>
    <x:xf numFmtId="1" fontId="1" fillId="0" borderId="1" xfId="0" applyNumberFormat="1" applyFont="1" applyFill="1" applyBorder="1" applyAlignment="1">
      <x:alignment horizontal="left" vertical="center" wrapText="1"/>
    </x:xf>
    <x:xf numFmtId="1" fontId="1" fillId="5" borderId="1" xfId="0" applyNumberFormat="1" applyFont="1" applyFill="1" applyBorder="1" applyAlignment="1">
      <x:alignment horizontal="left" vertical="center" wrapText="1"/>
    </x:xf>
    <x:xf numFmtId="1" fontId="9" fillId="6" borderId="2" xfId="0" applyNumberFormat="1" applyFont="1" applyFill="1" applyBorder="1" applyAlignment="1">
      <x:alignment horizontal="left" vertical="center" wrapText="1"/>
    </x:xf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wrapText="1"/>
    </x:xf>
    <x:xf numFmtId="0" fontId="18" fillId="8" borderId="0" xfId="0" applyNumberFormat="1" applyFont="1" applyFill="1" applyBorder="1"/>
    <x:xf numFmtId="0" fontId="18" fillId="8" borderId="0" xfId="0" applyNumberFormat="1" applyFont="1" applyFill="1" applyBorder="1" applyAlignment="1">
      <x:alignment wrapText="1"/>
    </x:xf>
    <x:xf numFmtId="0" fontId="18" fillId="9" borderId="0" xfId="0" applyNumberFormat="1" applyFont="1" applyFill="1" applyBorder="1"/>
    <x:xf numFmtId="0" fontId="18" fillId="9" borderId="0" xfId="0" applyNumberFormat="1" applyFont="1" applyFill="1" applyBorder="1" applyAlignment="1">
      <x:alignment wrapText="1"/>
    </x:xf>
    <x:xf numFmtId="0" fontId="18" fillId="10" borderId="0" xfId="0" applyNumberFormat="1" applyFont="1" applyFill="1" applyBorder="1"/>
    <x:xf numFmtId="0" fontId="18" fillId="10" borderId="0" xfId="0" applyNumberFormat="1" applyFont="1" applyFill="1" applyBorder="1" applyAlignment="1">
      <x:alignment wrapText="1"/>
    </x:xf>
    <x:xf numFmtId="0" fontId="19" fillId="8" borderId="0" xfId="0" applyNumberFormat="1" applyFont="1" applyFill="1" applyBorder="1"/>
    <x:xf numFmtId="0" fontId="19" fillId="8" borderId="0" xfId="0" applyNumberFormat="1" applyFont="1" applyFill="1" applyBorder="1" applyAlignment="1">
      <x:alignment wrapText="1"/>
    </x:xf>
    <x:xf numFmtId="0" fontId="19" fillId="8" borderId="0" xfId="0" applyNumberFormat="1" applyFont="1" applyFill="1" applyBorder="1" applyAlignment="1">
      <x:alignment vertical="center"/>
    </x:xf>
    <x:xf numFmtId="0" fontId="19" fillId="8" borderId="0" xfId="0" applyNumberFormat="1" applyFont="1" applyFill="1" applyBorder="1" applyAlignment="1">
      <x:alignment vertical="center" wrapText="1"/>
    </x:xf>
    <x:xf numFmtId="0" fontId="18" fillId="9" borderId="0" xfId="0" applyNumberFormat="1" applyFont="1" applyFill="1" applyBorder="1" applyAlignment="1">
      <x:alignment vertical="center"/>
    </x:xf>
    <x:xf numFmtId="0" fontId="18" fillId="9" borderId="0" xfId="0" applyNumberFormat="1" applyFont="1" applyFill="1" applyBorder="1" applyAlignment="1">
      <x:alignment vertical="center" wrapText="1"/>
    </x:xf>
    <x:xf numFmtId="0" fontId="18" fillId="10" borderId="0" xfId="0" applyNumberFormat="1" applyFont="1" applyFill="1" applyBorder="1" applyAlignment="1">
      <x:alignment vertical="center"/>
    </x:xf>
    <x:xf numFmtId="0" fontId="18" fillId="10" borderId="0" xfId="0" applyNumberFormat="1" applyFont="1" applyFill="1" applyBorder="1" applyAlignment="1">
      <x:alignment vertical="center" wrapText="1"/>
    </x:xf>
    <x:xf numFmtId="203" fontId="18" fillId="9" borderId="0" xfId="0" applyNumberFormat="1" applyFont="1" applyFill="1" applyBorder="1" applyAlignment="1">
      <x:alignment vertical="center" wrapText="1"/>
    </x:xf>
    <x:xf numFmtId="1" fontId="20" fillId="0" borderId="1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 wrapText="1"/>
    </x:xf>
    <x:xf numFmtId="203" fontId="5" fillId="3" borderId="0" xfId="0" applyNumberFormat="1" applyFont="1" applyFill="1" applyBorder="1" applyAlignment="1">
      <x:alignment vertical="center" wrapText="1"/>
    </x:xf>
    <x:xf numFmtId="0" fontId="14" fillId="0" borderId="1" xfId="0" applyNumberFormat="1" applyFont="1" applyFill="1" applyBorder="1" applyAlignment="1">
      <x:alignment vertical="center" wrapText="1"/>
    </x:xf>
    <x:xf numFmtId="204" fontId="17" fillId="0" borderId="1" xfId="0" applyNumberFormat="1" applyFont="1" applyFill="1" applyBorder="1" applyAlignment="1">
      <x:alignment vertical="center"/>
    </x:xf>
    <x:xf numFmtId="202" fontId="17" fillId="0" borderId="1" xfId="0" applyNumberFormat="1" applyFont="1" applyFill="1" applyBorder="1" applyAlignment="1">
      <x:alignment vertical="center"/>
    </x:xf>
    <x:xf numFmtId="203" fontId="17" fillId="0" borderId="1" xfId="0" applyNumberFormat="1" applyFont="1" applyFill="1" applyBorder="1" applyAlignment="1">
      <x:alignment vertical="center"/>
    </x:xf>
    <x:xf numFmtId="200" fontId="17" fillId="0" borderId="1" xfId="0" applyNumberFormat="1" applyFont="1" applyFill="1" applyBorder="1" applyAlignment="1">
      <x:alignment vertical="center"/>
    </x:xf>
    <x:xf numFmtId="0" fontId="17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710112238247af" /><Relationship Type="http://schemas.openxmlformats.org/officeDocument/2006/relationships/theme" Target="/xl/theme/theme1.xml" Id="R6c6f8dfbb7914fe4" /><Relationship Type="http://schemas.openxmlformats.org/officeDocument/2006/relationships/sharedStrings" Target="/xl/sharedStrings.xml" Id="Rd8e905bfdf764a3b" /><Relationship Type="http://schemas.openxmlformats.org/officeDocument/2006/relationships/worksheet" Target="/xl/worksheets/sheet1.xml" Id="Rc359e5fc7c384272" /><Relationship Type="http://schemas.openxmlformats.org/officeDocument/2006/relationships/worksheet" Target="/xl/worksheets/sheet2.xml" Id="Rbe8b4fc81625433a" /><Relationship Type="http://schemas.openxmlformats.org/officeDocument/2006/relationships/worksheet" Target="/xl/worksheets/sheet3.xml" Id="R476c360672284dab" /><Relationship Type="http://schemas.openxmlformats.org/officeDocument/2006/relationships/worksheet" Target="/xl/worksheets/sheet4.xml" Id="R061371362d90422a" /><Relationship Type="http://schemas.openxmlformats.org/officeDocument/2006/relationships/worksheet" Target="/xl/worksheets/sheet5.xml" Id="Rfd4a62234c6d42c3" /><Relationship Type="http://schemas.openxmlformats.org/officeDocument/2006/relationships/worksheet" Target="/xl/worksheets/sheet6.xml" Id="Rfc686f0bfc1e4b37" /><Relationship Type="http://schemas.openxmlformats.org/officeDocument/2006/relationships/worksheet" Target="/xl/worksheets/sheet7.xml" Id="R0ecac39338ba4d58" /><Relationship Type="http://schemas.openxmlformats.org/officeDocument/2006/relationships/worksheet" Target="/xl/worksheets/sheet8.xml" Id="Rbd0ce46c36a04cda" /><Relationship Type="http://schemas.openxmlformats.org/officeDocument/2006/relationships/worksheet" Target="/xl/worksheets/sheet9.xml" Id="R18e25a7f8d724c27" /><Relationship Type="http://schemas.openxmlformats.org/officeDocument/2006/relationships/worksheet" Target="/xl/worksheets/sheet10.xml" Id="Rcf97ff104beb4ea8" /><Relationship Type="http://schemas.openxmlformats.org/officeDocument/2006/relationships/worksheet" Target="/xl/worksheets/sheet11.xml" Id="R6127a5724c934e0a" /><Relationship Type="http://schemas.openxmlformats.org/officeDocument/2006/relationships/worksheet" Target="/xl/worksheets/sheet12.xml" Id="Rb1097afb4bc445ce" /><Relationship Type="http://schemas.openxmlformats.org/officeDocument/2006/relationships/worksheet" Target="/xl/worksheets/sheet13.xml" Id="R7225cb2390584085" /><Relationship Type="http://schemas.openxmlformats.org/officeDocument/2006/relationships/worksheet" Target="/xl/worksheets/sheet14.xml" Id="Rf8f0d98a32b24da0" /></Relationships>
</file>

<file path=xl/tables/table1.xml><?xml version="1.0" encoding="utf-8"?>
<x:table xmlns:x="http://schemas.openxmlformats.org/spreadsheetml/2006/main" id="1" name="T_navigation" displayName="T_navigation" ref="A8:C21" headerRowCount="1" totalsRowCount="0" totalsRowShown="0">
  <x:tableColumns count="3">
    <x:tableColumn id="1" name="Zweck"/>
    <x:tableColumn id="2" name="Inhalt"/>
    <x:tableColumn id="3" name="Tabellenblatt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_party_summary" displayName="T_party_summary" ref="A8:F26" headerRowCount="1" totalsRowCount="0" totalsRowShown="0">
  <x:tableColumns count="6">
    <x:tableColumn id="1" name="Fraktion"/>
    <x:tableColumn id="2" name="Dimension"/>
    <x:tableColumn id="3" name="Vergleichbare Jahre"/>
    <x:tableColumn id="4" name="Über Jahreswert"/>
    <x:tableColumn id="5" name="Unter Jahreswert"/>
    <x:tableColumn id="6" name="Gleich Jahreswert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_transition_summary" displayName="T_transition_summary" ref="A30:G51" headerRowCount="1" totalsRowCount="0" totalsRowShown="0">
  <x:tableColumns count="7">
    <x:tableColumn id="1" name="Übergang"/>
    <x:tableColumn id="2" name="Dimension"/>
    <x:tableColumn id="3" name="Vergleichbare Fraktionen"/>
    <x:tableColumn id="4" name="Anstieg"/>
    <x:tableColumn id="5" name="Rückgang"/>
    <x:tableColumn id="6" name="Unverändert"/>
    <x:tableColumn id="7" name="Gleiche Richtung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T_party_compare" displayName="T_party_compare" ref="A55:J199" headerRowCount="1" totalsRowCount="0" totalsRowShown="0">
  <x:tableColumns count="10">
    <x:tableColumn id="1" name="Jahr"/>
    <x:tableColumn id="2" name="Fraktion"/>
    <x:tableColumn id="3" name="Dimension"/>
    <x:tableColumn id="4" name="Eigene A&amp;E n"/>
    <x:tableColumn id="5" name="Eigene Dimension n"/>
    <x:tableColumn id="6" name="Pool A&amp;E n"/>
    <x:tableColumn id="7" name="Pool Thema n"/>
    <x:tableColumn id="8" name="Eigener Anteil"/>
    <x:tableColumn id="9" name="Gemeinsamer Anteil"/>
    <x:tableColumn id="10" name="Abstand (PP)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T_party_transitions" displayName="T_party_transitions" ref="A203:H329" headerRowCount="1" totalsRowCount="0" totalsRowShown="0">
  <x:tableColumns count="8">
    <x:tableColumn id="1" name="Übergang"/>
    <x:tableColumn id="2" name="Fraktion"/>
    <x:tableColumn id="3" name="Dimension"/>
    <x:tableColumn id="4" name="A&amp;E vorher"/>
    <x:tableColumn id="5" name="Dimension vorher"/>
    <x:tableColumn id="6" name="A&amp;E danach"/>
    <x:tableColumn id="7" name="Dimension danach"/>
    <x:tableColumn id="8" name="Veränderung (PP)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T_diesel_monthly" displayName="T_diesel_monthly" ref="A9:H45" headerRowCount="1" totalsRowCount="0" totalsRowShown="0">
  <x:tableColumns count="8">
    <x:tableColumn id="1" name="Monat"/>
    <x:tableColumn id="2" name="A&amp;E-Sätze (Nenner)"/>
    <x:tableColumn id="3" name="Agrardiesel: Sätze"/>
    <x:tableColumn id="4" name="Agrardiesel: Beiträge"/>
    <x:tableColumn id="5" name="Agrardiesel: Tage"/>
    <x:tableColumn id="6" name="Agrardiesel / A&amp;E"/>
    <x:tableColumn id="7" name="G7 im Jahr (Nenner)"/>
    <x:tableColumn id="8" name="Anteil am G7-Jahr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T_diesel_factions" displayName="T_diesel_factions" ref="A49:I65" headerRowCount="1" totalsRowCount="0" totalsRowShown="0">
  <x:tableColumns count="9">
    <x:tableColumn id="1" name="Jahr"/>
    <x:tableColumn id="2" name="Fraktion / Zuordnung"/>
    <x:tableColumn id="3" name="Eigene A&amp;E-Sätze (Nenner)"/>
    <x:tableColumn id="4" name="Agrardiesel: Sätze"/>
    <x:tableColumn id="5" name="Agrardiesel: Beiträge"/>
    <x:tableColumn id="6" name="Agrardiesel: Tage"/>
    <x:tableColumn id="7" name="Agrardiesel / eigene A&amp;E"/>
    <x:tableColumn id="8" name="Ökonomiesätze"/>
    <x:tableColumn id="9" name="G7 / Ökonomie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T_wordchoice_factions" displayName="T_wordchoice_factions" ref="A8:C15" headerRowCount="1" totalsRowCount="0" totalsRowShown="0">
  <x:tableColumns count="3">
    <x:tableColumn id="1" name="Fraktion / Gesamt"/>
    <x:tableColumn id="2" name="Pestizid"/>
    <x:tableColumn id="3" name="Pflanzenschutzmittel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T_category_total" displayName="T_category_total" ref="A8:H27" headerRowCount="1" totalsRowCount="0" totalsRowShown="0">
  <x:tableColumns count="8">
    <x:tableColumn id="1" name="Dimension"/>
    <x:tableColumn id="2" name="Kategorie"/>
    <x:tableColumn id="3" name="Bezeichnung"/>
    <x:tableColumn id="4" name="Sätze n"/>
    <x:tableColumn id="5" name="A&amp;E n"/>
    <x:tableColumn id="6" name="Anteil an A&amp;E"/>
    <x:tableColumn id="7" name="Dimension n"/>
    <x:tableColumn id="8" name="Anteil an Dimension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10" name="T_category_year" displayName="T_category_year" ref="A30:I182" headerRowCount="1" totalsRowCount="0" totalsRowShown="0">
  <x:tableColumns count="9">
    <x:tableColumn id="1" name="Dimension"/>
    <x:tableColumn id="2" name="Kategorie"/>
    <x:tableColumn id="3" name="Bezeichnung"/>
    <x:tableColumn id="4" name="Jahr"/>
    <x:tableColumn id="5" name="Sätze n"/>
    <x:tableColumn id="6" name="A&amp;E n"/>
    <x:tableColumn id="7" name="Anteil an A&amp;E"/>
    <x:tableColumn id="8" name="Dimension n"/>
    <x:tableColumn id="9" name="Anteil an Dimension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11" name="T_basis_party" displayName="T_basis_party" ref="A20:J85" headerRowCount="1" totalsRowCount="0" totalsRowShown="0">
  <x:tableColumns count="10">
    <x:tableColumn id="1" name="Jahr"/>
    <x:tableColumn id="2" name="Fraktion / Zuordnung"/>
    <x:tableColumn id="3" name="Plenarsätze"/>
    <x:tableColumn id="4" name="A&amp;E-Sätze"/>
    <x:tableColumn id="5" name="Ökologie n"/>
    <x:tableColumn id="6" name="Ökonomie n"/>
    <x:tableColumn id="7" name="S&amp;R n"/>
    <x:tableColumn id="8" name="Beiträge gesamt"/>
    <x:tableColumn id="9" name="A&amp;E-Beiträge"/>
    <x:tableColumn id="10" name="A&amp;E-Tage"/>
  </x:tableColumns>
  <x:tableStyleInfo name="TableStyleLight1" showFirstColumn="0" showLastColumn="0" showRowStripes="1" showColumnStripes="0"/>
</x:table>
</file>

<file path=xl/tables/table12.xml><?xml version="1.0" encoding="utf-8"?>
<x:table xmlns:x="http://schemas.openxmlformats.org/spreadsheetml/2006/main" id="12" name="T_basis_day" displayName="T_basis_day" ref="A89:J588" headerRowCount="1" totalsRowCount="0" totalsRowShown="0">
  <x:tableColumns count="10">
    <x:tableColumn id="1" name="Datum"/>
    <x:tableColumn id="2" name="Jahr"/>
    <x:tableColumn id="3" name="Plenarsätze"/>
    <x:tableColumn id="4" name="A&amp;E-Sätze"/>
    <x:tableColumn id="5" name="Ökologie n"/>
    <x:tableColumn id="6" name="Ökonomie n"/>
    <x:tableColumn id="7" name="S&amp;R n"/>
    <x:tableColumn id="8" name="Beiträge gesamt"/>
    <x:tableColumn id="9" name="A&amp;E-Beiträge"/>
    <x:tableColumn id="10" name="Protokoll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35ff4ff80b41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f229e01dc144bbd" /><Relationship Type="http://schemas.openxmlformats.org/officeDocument/2006/relationships/table" Target="/xl/tables/table3.xml" Id="R87965f2b26c54c46" /><Relationship Type="http://schemas.openxmlformats.org/officeDocument/2006/relationships/table" Target="/xl/tables/table4.xml" Id="R8206c8ef009d4bc1" /><Relationship Type="http://schemas.openxmlformats.org/officeDocument/2006/relationships/table" Target="/xl/tables/table5.xml" Id="R61fafc24822841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db5101aeb24254" /><Relationship Type="http://schemas.openxmlformats.org/officeDocument/2006/relationships/table" Target="/xl/tables/table7.xml" Id="R8ed566ab4ecc4c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be8d8bc0bb640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a7eec26e9ea43db" /><Relationship Type="http://schemas.openxmlformats.org/officeDocument/2006/relationships/table" Target="/xl/tables/table10.xml" Id="R413c18ff7deb4e4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c230c2cbf914677" /><Relationship Type="http://schemas.openxmlformats.org/officeDocument/2006/relationships/table" Target="/xl/tables/table12.xml" Id="R65b79dbf97de4c8a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70" hidden="0" customWidth="1"/>
    <x:col min="3" max="3" width="57" hidden="0" customWidth="1"/>
  </x:cols>
  <x:sheetData>
    <x:row r="1" ht="10" customHeight="1">
      <x:c r="A1" s="1"/>
      <x:c r="B1" s="1"/>
      <x:c r="C1" s="1"/>
    </x:row>
    <x:row r="2" ht="28" customHeight="1">
      <x:c r="A2" s="2" t="inlineStr">
        <x:is>
          <x:t xml:space="preserve">Datengrundlage für Ergebnisse und Diskussion</x:t>
        </x:is>
      </x:c>
      <x:c r="B2" s="3"/>
      <x:c r="C2" s="3"/>
    </x:row>
    <x:row r="3" ht="22" customHeight="1">
      <x:c r="A3" s="4" t="inlineStr">
        <x:is>
          <x:t xml:space="preserve">Analysebestand 2018–2025. Themenzuordnungen nach dem abschließenden Wörterbuchstand.</x:t>
        </x:is>
      </x:c>
      <x:c r="B3" s="1"/>
      <x:c r="C3" s="1"/>
    </x:row>
    <x:row r="4" ht="22" customHeight="1">
      <x:c r="A4" s="5" t="inlineStr">
        <x:is>
          <x:t xml:space="preserve">Die mitgelieferte Datengrundlage ist Ergebnisbestand und feste Vorlage; Neuberechnungen werden separat gespeichert.</x:t>
        </x:is>
      </x:c>
      <x:c r="B4" s="6"/>
      <x:c r="C4" s="6"/>
    </x:row>
    <x:row r="5" ht="22" customHeight="1">
      <x:c r="A5" s="6"/>
      <x:c r="B5" s="6"/>
      <x:c r="C5" s="6"/>
    </x:row>
    <x:row r="6" ht="28" customHeight="1">
      <x:c r="A6" s="118" t="str">
        <x:v>Tabellen der Arbeit finden: Zuordnung ab Zeile 37. Ergebnisse: Blätter 01–09. Kennzahlen und Berechnung: 10–13.</x:v>
      </x:c>
      <x:c r="B6" s="118"/>
      <x:c r="C6" s="118"/>
    </x:row>
    <x:row r="7" ht="26" customHeight="1">
      <x:c r="A7"/>
      <x:c r="B7"/>
      <x:c r="C7"/>
    </x:row>
    <x:row r="8" ht="47" customHeight="1">
      <x:c r="A8" s="7" t="str">
        <x:v>Zweck</x:v>
      </x:c>
      <x:c r="B8" s="7" t="str">
        <x:v>Inhalt</x:v>
      </x:c>
      <x:c r="C8" s="7" t="str">
        <x:v>Tabellenblatt</x:v>
      </x:c>
    </x:row>
    <x:row r="9" ht="32" customHeight="1">
      <x:c r="A9" s="8" t="str">
        <x:v>Jahreswerte</x:v>
      </x:c>
      <x:c r="B9" s="8" t="str">
        <x:v>Politikfeld, Themenbereiche und Zeiträume</x:v>
      </x:c>
      <x:c r="C9" s="8" t="str">
        <x:v>01_Haupttabellen</x:v>
      </x:c>
    </x:row>
    <x:row r="10" ht="32" customHeight="1">
      <x:c r="A10" s="9" t="str">
        <x:v>Fraktionen</x:v>
      </x:c>
      <x:c r="B10" s="9" t="str">
        <x:v>Gesamtzeitraum und Jahresanteile</x:v>
      </x:c>
      <x:c r="C10" s="9" t="str">
        <x:v>02_Fraktion_Jahr</x:v>
      </x:c>
    </x:row>
    <x:row r="11" ht="32" customHeight="1">
      <x:c r="A11" s="8" t="str">
        <x:v>Fraktionsvergleich</x:v>
      </x:c>
      <x:c r="B11" s="8" t="str">
        <x:v>Abstände zum gemeinsamen Jahreswert und Veränderungen</x:v>
      </x:c>
      <x:c r="C11" s="8" t="str">
        <x:v>03_Fraktionsvergleich</x:v>
      </x:c>
    </x:row>
    <x:row r="12" ht="32" customHeight="1">
      <x:c r="A12" s="9" t="str">
        <x:v>Themenzuordnungen</x:v>
      </x:c>
      <x:c r="B12" s="9" t="str">
        <x:v>Sätze mit keiner, mindestens einer oder mehreren Zuordnungen</x:v>
      </x:c>
      <x:c r="C12" s="9" t="str">
        <x:v>04_Themenzuordnungen</x:v>
      </x:c>
    </x:row>
    <x:row r="13" ht="32" customHeight="1">
      <x:c r="A13" s="8" t="str">
        <x:v>Unterthemen</x:v>
      </x:c>
      <x:c r="B13" s="8" t="str">
        <x:v>Jahreswerte, Monatswerte 2022, Preise/Kosten nach Fraktion</x:v>
      </x:c>
      <x:c r="C13" s="8" t="str">
        <x:v>05_Unterthemen</x:v>
      </x:c>
    </x:row>
    <x:row r="14" ht="32" customHeight="1">
      <x:c r="A14" s="9" t="str">
        <x:v>Agrardiesel</x:v>
      </x:c>
      <x:c r="B14" s="9" t="str">
        <x:v>Monate, Fraktionen, erstes Quartal und 20. März 2024</x:v>
      </x:c>
      <x:c r="C14" s="9" t="str">
        <x:v>06_Agrardiesel</x:v>
      </x:c>
    </x:row>
    <x:row r="15" ht="32" customHeight="1">
      <x:c r="A15" s="8" t="str">
        <x:v>Wortwahl, Fleischwirtschaft</x:v>
      </x:c>
      <x:c r="B15" s="8" t="str">
        <x:v>Pestizid/Pflanzenschutzmittel und Beispiel aus Abschnitt 5.4</x:v>
      </x:c>
      <x:c r="C15" s="8" t="str">
        <x:v>07_Wortwahl_Fleischwirtschaft</x:v>
      </x:c>
    </x:row>
    <x:row r="16" ht="32" customHeight="1">
      <x:c r="A16" s="9" t="str">
        <x:v>Kategorien</x:v>
      </x:c>
      <x:c r="B16" s="9" t="str">
        <x:v>Alle Kategorien nach Jahr und insgesamt</x:v>
      </x:c>
      <x:c r="C16" s="9" t="str">
        <x:v>08_Kategorien</x:v>
      </x:c>
    </x:row>
    <x:row r="17" ht="32" customHeight="1">
      <x:c r="A17" s="8" t="str">
        <x:v>Amtsrollen</x:v>
      </x:c>
      <x:c r="B17" s="8" t="str">
        <x:v>Fraktionsvergleich mit und ohne Amtsbeiträge</x:v>
      </x:c>
      <x:c r="C17" s="8" t="str">
        <x:v>09_Amtsrollen</x:v>
      </x:c>
    </x:row>
    <x:row r="18" ht="32" customHeight="1">
      <x:c r="A18" s="9" t="str">
        <x:v>Kennzahlen</x:v>
      </x:c>
      <x:c r="B18" s="9" t="str">
        <x:v>Im Text berichtete Anteile und Veränderungen</x:v>
      </x:c>
      <x:c r="C18" s="9" t="str">
        <x:v>10_Kennzahlen</x:v>
      </x:c>
    </x:row>
    <x:row r="19" ht="32" customHeight="1">
      <x:c r="A19" s="8" t="str">
        <x:v>Berechnungsbasis</x:v>
      </x:c>
      <x:c r="B19" s="8" t="str">
        <x:v>Jahres-, Fraktions- und Tageszähler</x:v>
      </x:c>
      <x:c r="C19" s="8" t="str">
        <x:v>11_Berechnungsbasis</x:v>
      </x:c>
    </x:row>
    <x:row r="20" ht="32" customHeight="1">
      <x:c r="A20" s="9" t="str">
        <x:v>Begriffe und Suchregeln</x:v>
      </x:c>
      <x:c r="B20" s="9" t="str">
        <x:v>Definitionen und drei ergänzende Textsuchen</x:v>
      </x:c>
      <x:c r="C20" s="9" t="str">
        <x:v>12_Begriffe_Suchregeln</x:v>
      </x:c>
    </x:row>
    <x:row r="21" ht="32" customHeight="1">
      <x:c r="A21" s="8" t="str">
        <x:v>Datenstand</x:v>
      </x:c>
      <x:c r="B21" s="8" t="str">
        <x:v>Eingabedateien, Prüfsummen und Bezugsregeln</x:v>
      </x:c>
      <x:c r="C21" s="8" t="str">
        <x:v>13_Datenstand</x:v>
      </x:c>
    </x:row>
    <x:row r="22" ht="25" customHeight="1">
      <x:c r="A22"/>
      <x:c r="B22"/>
      <x:c r="C22"/>
    </x:row>
    <x:row r="23" ht="30" customHeight="1">
      <x:c r="A23"/>
      <x:c r="B23"/>
      <x:c r="C23"/>
    </x:row>
    <x:row r="24" ht="30" customHeight="1">
      <x:c r="A24"/>
      <x:c r="B24"/>
      <x:c r="C24"/>
    </x:row>
    <x:row r="25" ht="30" customHeight="1">
      <x:c r="A25"/>
      <x:c r="B25"/>
      <x:c r="C25"/>
    </x:row>
    <x:row r="26" ht="30" customHeight="1">
      <x:c r="A26"/>
      <x:c r="B26"/>
      <x:c r="C26"/>
    </x:row>
    <x:row r="27" ht="30" customHeight="1">
      <x:c r="A27"/>
      <x:c r="B27"/>
      <x:c r="C27"/>
    </x:row>
    <x:row r="28" ht="26" customHeight="1">
      <x:c r="A28" s="10" t="inlineStr">
        <x:is>
          <x:t xml:space="preserve">Aktueller Umfang</x:t>
        </x:is>
      </x:c>
      <x:c r="B28" s="1"/>
      <x:c r="C28" s="1"/>
    </x:row>
    <x:row r="29" ht="54" customHeight="1">
      <x:c r="A29" s="11" t="inlineStr">
        <x:is>
          <x:t xml:space="preserve">Kennzahl</x:t>
        </x:is>
      </x:c>
      <x:c r="B29" s="12" t="inlineStr">
        <x:is>
          <x:t xml:space="preserve">Anzahl</x:t>
        </x:is>
      </x:c>
      <x:c r="C29" s="1"/>
    </x:row>
    <x:row r="30" ht="22" customHeight="1">
      <x:c r="A30" s="13" t="inlineStr">
        <x:is>
          <x:t xml:space="preserve">Plenarsätze</x:t>
        </x:is>
      </x:c>
      <x:c r="B30" s="14">
        <x:v>1912729</x:v>
      </x:c>
      <x:c r="C30" s="1"/>
    </x:row>
    <x:row r="31" ht="22" customHeight="1">
      <x:c r="A31" s="15" t="inlineStr">
        <x:is>
          <x:t xml:space="preserve">A&amp;E-Sätze</x:t>
        </x:is>
      </x:c>
      <x:c r="B31" s="16">
        <x:v>25247</x:v>
      </x:c>
      <x:c r="C31" s="1"/>
    </x:row>
    <x:row r="32" ht="22" customHeight="1">
      <x:c r="A32" s="13" t="inlineStr">
        <x:is>
          <x:t xml:space="preserve">Ökologie-Sätze</x:t>
        </x:is>
      </x:c>
      <x:c r="B32" s="14">
        <x:v>6481</x:v>
      </x:c>
      <x:c r="C32" s="1"/>
    </x:row>
    <x:row r="33" ht="22" customHeight="1">
      <x:c r="A33" s="15" t="inlineStr">
        <x:is>
          <x:t xml:space="preserve">Ökonomie-Sätze</x:t>
        </x:is>
      </x:c>
      <x:c r="B33" s="16">
        <x:v>5849</x:v>
      </x:c>
      <x:c r="C33" s="1"/>
    </x:row>
    <x:row r="34" ht="22" customHeight="1">
      <x:c r="A34" s="17" t="inlineStr">
        <x:is>
          <x:t xml:space="preserve">S&amp;R-Sätze</x:t>
        </x:is>
      </x:c>
      <x:c r="B34" s="18">
        <x:v>1048</x:v>
      </x:c>
      <x:c r="C34" s="1"/>
    </x:row>
    <x:row r="35" ht="22" customHeight="1">
      <x:c r="A35" s="1"/>
      <x:c r="B35" s="1"/>
      <x:c r="C35" s="1"/>
    </x:row>
    <x:row r="36" ht="22" customHeight="1">
      <x:c r="A36" s="1"/>
      <x:c r="B36" s="1"/>
      <x:c r="C36" s="1"/>
    </x:row>
    <x:row r="37" ht="30" customHeight="1">
      <x:c r="A37" s="19" t="str">
        <x:v>Zuordnung zur Masterarbeit</x:v>
      </x:c>
      <x:c r="B37" s="19"/>
      <x:c r="C37" s="19"/>
    </x:row>
    <x:row r="38" ht="47" customHeight="1">
      <x:c r="A38" s="7" t="str">
        <x:v>Arbeit</x:v>
      </x:c>
      <x:c r="B38" s="7" t="str">
        <x:v>Inhalt / Bezugsgröße</x:v>
      </x:c>
      <x:c r="C38" s="7" t="str">
        <x:v>Blatt und Zellbereich / Datei</x:v>
      </x:c>
    </x:row>
    <x:row r="39" ht="47" customHeight="1">
      <x:c r="A39" s="8" t="str">
        <x:v>Tabelle 1</x:v>
      </x:c>
      <x:c r="B39" s="8" t="str">
        <x:v>Erfasste Bereiche des Politikfeldfilters</x:v>
      </x:c>
      <x:c r="C39" s="8" t="str">
        <x:v>dictionaries/Woerterbuch_Agrar_Ernaehrung.json; codebuch/</x:v>
      </x:c>
    </x:row>
    <x:row r="40" ht="47" customHeight="1">
      <x:c r="A40" s="9" t="str">
        <x:v>Tabellen 2–4</x:v>
      </x:c>
      <x:c r="B40" s="9" t="str">
        <x:v>Kategorien der drei Themenwörterbücher</x:v>
      </x:c>
      <x:c r="C40" s="9" t="str">
        <x:v>08_Kategorien!A8:C27; dictionaries/; codebuch/</x:v>
      </x:c>
    </x:row>
    <x:row r="41" ht="47" customHeight="1">
      <x:c r="A41" s="8" t="str">
        <x:v>Tabellen 5–6</x:v>
      </x:c>
      <x:c r="B41" s="8" t="str">
        <x:v>Validierung: Kennzahlen und Intervalle</x:v>
      </x:c>
      <x:c r="C41" s="8" t="str">
        <x:v>ergebnisse/Guetemasse_Validierung.csv; validierung/kennzahlen_berechnen.py</x:v>
      </x:c>
    </x:row>
    <x:row r="42" ht="47" customHeight="1">
      <x:c r="A42" s="9" t="str">
        <x:v>Tabelle 7</x:v>
      </x:c>
      <x:c r="B42" s="9" t="str">
        <x:v>A&amp;E in der Plenarkommunikation</x:v>
      </x:c>
      <x:c r="C42" s="9" t="str">
        <x:v>01_Haupttabellen!A8:G17</x:v>
      </x:c>
    </x:row>
    <x:row r="43" ht="47" customHeight="1">
      <x:c r="A43" s="8" t="str">
        <x:v>Tabelle 8 / Abbildung 1</x:v>
      </x:c>
      <x:c r="B43" s="8" t="str">
        <x:v>Themenanteile im Politikfeld nach Jahren</x:v>
      </x:c>
      <x:c r="C43" s="8" t="str">
        <x:v>01_Haupttabellen!A21:H30</x:v>
      </x:c>
    </x:row>
    <x:row r="44" ht="47" customHeight="1">
      <x:c r="A44" s="9" t="str">
        <x:v>Tabelle 9</x:v>
      </x:c>
      <x:c r="B44" s="9" t="str">
        <x:v>Preise/Kosten, Agrardiesel, Ernährungssicherheit</x:v>
      </x:c>
      <x:c r="C44" s="9" t="str">
        <x:v>05_Unterthemen!A5:H14</x:v>
      </x:c>
    </x:row>
    <x:row r="45" ht="47" customHeight="1">
      <x:c r="A45" s="8" t="str">
        <x:v>Tabelle 10</x:v>
      </x:c>
      <x:c r="B45" s="8" t="str">
        <x:v>Politikfeld- und Themenanteile der sechs Fraktionen</x:v>
      </x:c>
      <x:c r="C45" s="8" t="str">
        <x:v>02_Fraktion_Jahr!A8:J14</x:v>
      </x:c>
    </x:row>
    <x:row r="46" ht="47" customHeight="1">
      <x:c r="A46" s="9" t="str">
        <x:v>Abbildung 2</x:v>
      </x:c>
      <x:c r="B46" s="9" t="str">
        <x:v>Abstand vom gemeinsamen Jahreswert (Spalte J)</x:v>
      </x:c>
      <x:c r="C46" s="9" t="str">
        <x:v>03_Fraktionsvergleich!A55:J199</x:v>
      </x:c>
    </x:row>
    <x:row r="47" ht="47" customHeight="1">
      <x:c r="A47" s="8" t="str">
        <x:v>Tabelle A1</x:v>
      </x:c>
      <x:c r="B47" s="8" t="str">
        <x:v>Ökologiekategorien: Anzahl E; Themenanteil I</x:v>
      </x:c>
      <x:c r="C47" s="8" t="str">
        <x:v>08_Kategorien!A30:I86</x:v>
      </x:c>
    </x:row>
    <x:row r="48" ht="47" customHeight="1">
      <x:c r="A48" s="9" t="str">
        <x:v>Tabelle A2</x:v>
      </x:c>
      <x:c r="B48" s="9" t="str">
        <x:v>Ökonomiekategorien: Anzahl E; Themenanteil I</x:v>
      </x:c>
      <x:c r="C48" s="9" t="str">
        <x:v>08_Kategorien!A87:I142 (Kopf in Zeile 30)</x:v>
      </x:c>
    </x:row>
    <x:row r="49" ht="47" customHeight="1">
      <x:c r="A49" s="8" t="str">
        <x:v>Tabelle A3</x:v>
      </x:c>
      <x:c r="B49" s="8" t="str">
        <x:v>S&amp;R-Kategorien: Anzahl E; Themenanteil I</x:v>
      </x:c>
      <x:c r="C49" s="8" t="str">
        <x:v>08_Kategorien!A143:I182 (Kopf in Zeile 30)</x:v>
      </x:c>
    </x:row>
    <x:row r="50" ht="47" customHeight="1">
      <x:c r="A50" s="9" t="str">
        <x:v>Tabelle A4</x:v>
      </x:c>
      <x:c r="B50" s="9" t="str">
        <x:v>Preise/Kosten und Ernährungssicherheit nach Monat 2022</x:v>
      </x:c>
      <x:c r="C50" s="9" t="str">
        <x:v>05_Unterthemen!A29:F41</x:v>
      </x:c>
    </x:row>
    <x:row r="51" ht="47" customHeight="1">
      <x:c r="A51" s="8" t="str">
        <x:v>Tabelle A5</x:v>
      </x:c>
      <x:c r="B51" s="8" t="str">
        <x:v>Agrardiesel-Monate 2024/2025; Jahresanteil in H</x:v>
      </x:c>
      <x:c r="C51" s="8" t="str">
        <x:v>06_Agrardiesel!A22:H45 (Kopf in Zeile 9)</x:v>
      </x:c>
    </x:row>
    <x:row r="52" ht="47" customHeight="1">
      <x:c r="A52" s="9" t="str">
        <x:v>Tabelle A6</x:v>
      </x:c>
      <x:c r="B52" s="9" t="str">
        <x:v>Fraktionsjahre: Politikfeld, Ökologie, Ökonomie, S&amp;R</x:v>
      </x:c>
      <x:c r="C52" s="9" t="str">
        <x:v>02_Fraktion_Jahr!A20:I26; A31:I37; A42:I48; A53:I59</x:v>
      </x:c>
    </x:row>
    <x:row r="53" ht="47" customHeight="1">
      <x:c r="A53" s="8" t="str">
        <x:v>Tabelle A7</x:v>
      </x:c>
      <x:c r="B53" s="8" t="str">
        <x:v>Agrardiesel 2024: Anzahl D; Anteil an Ökonomie I</x:v>
      </x:c>
      <x:c r="C53" s="8" t="str">
        <x:v>06_Agrardiesel!A49:I55</x:v>
      </x:c>
    </x:row>
    <x:row r="54" ht="47" customHeight="1">
      <x:c r="A54" s="9" t="str">
        <x:v>Tabelle A8</x:v>
      </x:c>
      <x:c r="B54" s="9" t="str">
        <x:v>Preise/Kosten: sechs Fraktionen × vier Zeiträume</x:v>
      </x:c>
      <x:c r="C54" s="9" t="str">
        <x:v>05_Unterthemen!A46:E70</x:v>
      </x:c>
    </x:row>
    <x:row r="55" ht="47" customHeight="1">
      <x:c r="A55" s="8" t="str">
        <x:v>Tabelle A9</x:v>
      </x:c>
      <x:c r="B55" s="8" t="str">
        <x:v>Pestizid und Pflanzenschutzmittel nach Fraktion</x:v>
      </x:c>
      <x:c r="C55" s="8" t="str">
        <x:v>07_Wortwahl_Fleischwirtschaft!A8:C15</x:v>
      </x:c>
    </x:row>
    <x:row r="56" ht="47" customHeight="1">
      <x:c r="A56" s="9" t="str">
        <x:v>Abschnitte 4.3 / 5.4</x:v>
      </x:c>
      <x:c r="B56" s="9" t="str">
        <x:v>Amtsrollen: fünf durchgehende Unterschiede</x:v>
      </x:c>
      <x:c r="C56" s="9" t="str">
        <x:v>09_Amtsrollen!A11:U59; A63:S71; A75:H83</x:v>
      </x:c>
    </x:row>
    <x:row r="57" ht="47" customHeight="1">
      <x:c r="A57" s="8" t="str">
        <x:v>20. März 2024</x:v>
      </x:c>
      <x:c r="B57" s="8" t="str">
        <x:v>Agrardiesel: berichtete Tageszahl und Jahresanteil</x:v>
      </x:c>
      <x:c r="C57" s="8" t="str">
        <x:v>06_Agrardiesel!A77:D78</x:v>
      </x:c>
    </x:row>
    <x:row r="58" ht="47" customHeight="1">
      <x:c r="A58" s="9" t="str">
        <x:v>Abschnitt 5.4</x:v>
      </x:c>
      <x:c r="B58" s="9" t="str">
        <x:v>Fleischwirtschaft: Beispiel ohne Themenzuordnung</x:v>
      </x:c>
      <x:c r="C58" s="9" t="str">
        <x:v>07_Wortwahl_Fleischwirtschaft!A21:C30</x:v>
      </x:c>
    </x:row>
    <x:row r="59" ht="47" customHeight="1">
      <x:c r="A59" s="8" t="str">
        <x:v>Anhang B / Tabelle C1</x:v>
      </x:c>
      <x:c r="B59" s="8" t="str">
        <x:v>Suchregeln / Dateiinventar, keine Ergebnisberechnung</x:v>
      </x:c>
      <x:c r="C59" s="8" t="str">
        <x:v>codebuch/; dictionaries/; README.md</x:v>
      </x:c>
    </x:row>
    <x:row r="60" ht="44" customHeight="1">
      <x:c r="A60" s="8" t="str">
        <x:v>Abschnitt 4.1</x:v>
      </x:c>
      <x:c r="B60" s="8" t="str">
        <x:v>Pflanzenschutz/Artenvielfalt: 24. Juni 2021</x:v>
      </x:c>
      <x:c r="C60" s="8" t="str">
        <x:v>10_Kennzahlen!A23:D25</x:v>
      </x:c>
    </x:row>
    <x:row r="61" ht="40" customHeight="1">
      <x:c r="A61" s="8" t="str">
        <x:v>Abschnitt 4.1</x:v>
      </x:c>
      <x:c r="B61" s="8" t="str">
        <x:v>Abdeckung und Mehrfachzuordnungen</x:v>
      </x:c>
      <x:c r="C61" s="8" t="str">
        <x:v>04_Themenzuordnungen!A8:G17</x:v>
      </x:c>
    </x:row>
    <x:row r="62" ht="40" customHeight="1">
      <x:c r="A62" s="9" t="str">
        <x:v>Abschnitt 4.2</x:v>
      </x:c>
      <x:c r="B62" s="9" t="str">
        <x:v>Ernährungssicherheit: Datumsbelege 2022</x:v>
      </x:c>
      <x:c r="C62" s="9" t="str">
        <x:v>05_Unterthemen!A75:H81</x:v>
      </x:c>
    </x:row>
    <x:row r="63" ht="44" customHeight="1">
      <x:c r="A63" s="8" t="str">
        <x:v>Abschnitte 3.5 / 5.4</x:v>
      </x:c>
      <x:c r="B63" s="8" t="str">
        <x:v>Validierung nach Vierjahresblöcken und Anteilsvergleich</x:v>
      </x:c>
      <x:c r="C63" s="8" t="str">
        <x:v>ergebnisse/Guetemasse_Validierung.csv</x:v>
      </x:c>
    </x:row>
  </x:sheetData>
  <x:mergeCells>
    <x:mergeCell ref="A4:C5"/>
    <x:mergeCell ref="A37:C37"/>
    <x:mergeCell ref="A6:C6"/>
  </x:mergeCells>
  <x:pageMargins left="0.7" right="0.7" top="0.75" bottom="0.75" header="0.3" footer="0.3"/>
  <x:tableParts count="1">
    <x:tablePart xmlns:r="http://schemas.openxmlformats.org/officeDocument/2006/relationships" r:id="R2135ff4ff80b415a"/>
  </x:tableParts>
</x:worksheet>
</file>

<file path=xl/worksheets/sheet2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14.4399995803833" hidden="0" customWidth="1"/>
    <x:col min="2" max="2" width="13.329999923706055" hidden="0" customWidth="1"/>
    <x:col min="3" max="3" width="13.329999923706055" hidden="0" customWidth="1"/>
    <x:col min="4" max="4" width="12.779999732971191" hidden="0" customWidth="1"/>
    <x:col min="5" max="5" width="13.329999923706055" hidden="0" customWidth="1"/>
    <x:col min="6" max="6" width="13.329999923706055" hidden="0" customWidth="1"/>
    <x:col min="7" max="7" width="13.890000343322754" hidden="0" customWidth="1"/>
    <x:col min="8" max="8" width="14.4399995803833" hidden="0" customWidth="1"/>
    <x:col min="9" max="9" width="16.110000610351562" hidden="0" customWidth="1"/>
    <x:col min="10" max="10" width="13.890000343322754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8" customHeight="1">
      <x:c r="A2" s="2" t="inlineStr">
        <x:is>
          <x:t xml:space="preserve">Jahreswerte und Veränderungen 2018–2025</x:t>
        </x:is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2" customHeight="1">
      <x:c r="A3" s="4" t="inlineStr">
        <x:is>
          <x:t xml:space="preserve">Feldanteil: A&amp;E-Sätze / Plenarsätze. Themenanteil: Sätze des Themenbereichs / A&amp;E-Sätze.</x:t>
        </x:is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2" customHeight="1">
      <x:c r="A4" s="4" t="inlineStr">
        <x:is>
          <x:t xml:space="preserve">Mehrfachzuordnungen sind möglich. Differenzen in Prozentpunkten werden aus ungerundeten Anteilen berechnet.</x:t>
        </x:is>
      </x:c>
      <x:c r="B4" s="1"/>
      <x:c r="C4" s="1"/>
      <x:c r="D4" s="1"/>
      <x:c r="E4" s="1"/>
      <x:c r="F4" s="1"/>
      <x:c r="G4" s="1"/>
      <x:c r="H4" s="1"/>
      <x:c r="I4" s="1"/>
      <x:c r="J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ht="26" customHeight="1">
      <x:c r="A7" s="10" t="inlineStr">
        <x:is>
          <x:t xml:space="preserve">Agrar und Ernährung im Plenum</x:t>
        </x:is>
      </x:c>
      <x:c r="B7" s="1"/>
      <x:c r="C7" s="1"/>
      <x:c r="D7" s="1"/>
      <x:c r="E7" s="1"/>
      <x:c r="F7" s="1"/>
      <x:c r="G7" s="1"/>
      <x:c r="H7" s="1"/>
      <x:c r="I7" s="1"/>
      <x:c r="J7" s="1"/>
    </x:row>
    <x:row r="8" ht="54" customHeight="1">
      <x:c r="A8" s="11" t="inlineStr">
        <x:is>
          <x:t xml:space="preserve">Jahr</x:t>
        </x:is>
      </x:c>
      <x:c r="B8" s="20" t="inlineStr">
        <x:is>
          <x:t xml:space="preserve">Plenarsätze</x:t>
        </x:is>
      </x:c>
      <x:c r="C8" s="20" t="inlineStr">
        <x:is>
          <x:t xml:space="preserve">A&amp;E-Sätze</x:t>
        </x:is>
      </x:c>
      <x:c r="D8" s="20" t="inlineStr">
        <x:is>
          <x:t xml:space="preserve">A&amp;E / Plenum</x:t>
        </x:is>
      </x:c>
      <x:c r="E8" s="20" t="inlineStr">
        <x:is>
          <x:t xml:space="preserve">A&amp;E-Tage</x:t>
        </x:is>
      </x:c>
      <x:c r="F8" s="20" t="inlineStr">
        <x:is>
          <x:t xml:space="preserve">Plenartage</x:t>
        </x:is>
      </x:c>
      <x:c r="G8" s="20" t="inlineStr">
        <x:is>
          <x:t xml:space="preserve">A&amp;E-Tage / Plenartage</x:t>
        </x:is>
      </x:c>
      <x:c r="H8" s="20" t="inlineStr">
        <x:is>
          <x:t xml:space="preserve">A&amp;E-Reden</x:t>
        </x:is>
      </x:c>
      <x:c r="I8" s="12" t="inlineStr">
        <x:is>
          <x:t xml:space="preserve">A&amp;E-Sätze je aktivem Tag</x:t>
        </x:is>
      </x:c>
      <x:c r="J8" s="1"/>
    </x:row>
    <x:row r="9" ht="22" customHeight="1">
      <x:c r="A9" s="21" t="n">
        <x:v>2018</x:v>
      </x:c>
      <x:c r="B9" s="14">
        <x:f>'11_Berechnungsbasis'!B9</x:f>
        <x:v>242148</x:v>
      </x:c>
      <x:c r="C9" s="14">
        <x:f>'11_Berechnungsbasis'!C9</x:f>
        <x:v>3254</x:v>
      </x:c>
      <x:c r="D9" s="22">
        <x:f>C9/B9</x:f>
        <x:v>0.013438062672415218</x:v>
      </x:c>
      <x:c r="E9" s="14">
        <x:f>'11_Berechnungsbasis'!H9</x:f>
        <x:v>59</x:v>
      </x:c>
      <x:c r="F9" s="14">
        <x:f>'11_Berechnungsbasis'!G9</x:f>
        <x:v>67</x:v>
      </x:c>
      <x:c r="G9" s="22">
        <x:f>E9/F9</x:f>
        <x:v>0.8805970149253731</x:v>
      </x:c>
      <x:c r="H9" s="14">
        <x:f>'11_Berechnungsbasis'!J9</x:f>
        <x:v>616</x:v>
      </x:c>
      <x:c r="I9" s="23">
        <x:f>C9/E9</x:f>
        <x:v>55.152542372881356</x:v>
      </x:c>
      <x:c r="J9" s="1"/>
    </x:row>
    <x:row r="10" ht="22" customHeight="1">
      <x:c r="A10" s="24" t="n">
        <x:v>2019</x:v>
      </x:c>
      <x:c r="B10" s="16">
        <x:f>'11_Berechnungsbasis'!B10</x:f>
        <x:v>259488</x:v>
      </x:c>
      <x:c r="C10" s="16">
        <x:f>'11_Berechnungsbasis'!C10</x:f>
        <x:v>2800</x:v>
      </x:c>
      <x:c r="D10" s="25">
        <x:f>C10/B10</x:f>
        <x:v>0.010790479713898137</x:v>
      </x:c>
      <x:c r="E10" s="16">
        <x:f>'11_Berechnungsbasis'!H10</x:f>
        <x:v>59</x:v>
      </x:c>
      <x:c r="F10" s="16">
        <x:f>'11_Berechnungsbasis'!G10</x:f>
        <x:v>66</x:v>
      </x:c>
      <x:c r="G10" s="25">
        <x:f>E10/F10</x:f>
        <x:v>0.8939393939393939</x:v>
      </x:c>
      <x:c r="H10" s="16">
        <x:f>'11_Berechnungsbasis'!J10</x:f>
        <x:v>640</x:v>
      </x:c>
      <x:c r="I10" s="26">
        <x:f>C10/E10</x:f>
        <x:v>47.45762711864407</x:v>
      </x:c>
      <x:c r="J10" s="1"/>
    </x:row>
    <x:row r="11" ht="22" customHeight="1">
      <x:c r="A11" s="21" t="n">
        <x:v>2020</x:v>
      </x:c>
      <x:c r="B11" s="14">
        <x:f>'11_Berechnungsbasis'!B11</x:f>
        <x:v>244311</x:v>
      </x:c>
      <x:c r="C11" s="14">
        <x:f>'11_Berechnungsbasis'!C11</x:f>
        <x:v>3133</x:v>
      </x:c>
      <x:c r="D11" s="22">
        <x:f>C11/B11</x:f>
        <x:v>0.012823818821092788</x:v>
      </x:c>
      <x:c r="E11" s="14">
        <x:f>'11_Berechnungsbasis'!H11</x:f>
        <x:v>62</x:v>
      </x:c>
      <x:c r="F11" s="14">
        <x:f>'11_Berechnungsbasis'!G11</x:f>
        <x:v>64</x:v>
      </x:c>
      <x:c r="G11" s="22">
        <x:f>E11/F11</x:f>
        <x:v>0.96875</x:v>
      </x:c>
      <x:c r="H11" s="14">
        <x:f>'11_Berechnungsbasis'!J11</x:f>
        <x:v>691</x:v>
      </x:c>
      <x:c r="I11" s="23">
        <x:f>C11/E11</x:f>
        <x:v>50.53225806451613</x:v>
      </x:c>
      <x:c r="J11" s="1"/>
    </x:row>
    <x:row r="12" ht="22" customHeight="1">
      <x:c r="A12" s="24" t="n">
        <x:v>2021</x:v>
      </x:c>
      <x:c r="B12" s="16">
        <x:f>'11_Berechnungsbasis'!B12</x:f>
        <x:v>175631</x:v>
      </x:c>
      <x:c r="C12" s="16">
        <x:f>'11_Berechnungsbasis'!C12</x:f>
        <x:v>2320</x:v>
      </x:c>
      <x:c r="D12" s="25">
        <x:f>C12/B12</x:f>
        <x:v>0.01320951312695367</x:v>
      </x:c>
      <x:c r="E12" s="16">
        <x:f>'11_Berechnungsbasis'!H12</x:f>
        <x:v>41</x:v>
      </x:c>
      <x:c r="F12" s="16">
        <x:f>'11_Berechnungsbasis'!G12</x:f>
        <x:v>46</x:v>
      </x:c>
      <x:c r="G12" s="25">
        <x:f>E12/F12</x:f>
        <x:v>0.8913043478260869</x:v>
      </x:c>
      <x:c r="H12" s="16">
        <x:f>'11_Berechnungsbasis'!J12</x:f>
        <x:v>493</x:v>
      </x:c>
      <x:c r="I12" s="26">
        <x:f>C12/E12</x:f>
        <x:v>56.58536585365854</x:v>
      </x:c>
      <x:c r="J12" s="1"/>
    </x:row>
    <x:row r="13" ht="22" customHeight="1">
      <x:c r="A13" s="21" t="n">
        <x:v>2022</x:v>
      </x:c>
      <x:c r="B13" s="14">
        <x:f>'11_Berechnungsbasis'!B13</x:f>
        <x:v>269405</x:v>
      </x:c>
      <x:c r="C13" s="14">
        <x:f>'11_Berechnungsbasis'!C13</x:f>
        <x:v>4018</x:v>
      </x:c>
      <x:c r="D13" s="22">
        <x:f>C13/B13</x:f>
        <x:v>0.01491434828603775</x:v>
      </x:c>
      <x:c r="E13" s="14">
        <x:f>'11_Berechnungsbasis'!H13</x:f>
        <x:v>66</x:v>
      </x:c>
      <x:c r="F13" s="14">
        <x:f>'11_Berechnungsbasis'!G13</x:f>
        <x:v>68</x:v>
      </x:c>
      <x:c r="G13" s="22">
        <x:f>E13/F13</x:f>
        <x:v>0.9705882352941176</x:v>
      </x:c>
      <x:c r="H13" s="14">
        <x:f>'11_Berechnungsbasis'!J13</x:f>
        <x:v>927</x:v>
      </x:c>
      <x:c r="I13" s="23">
        <x:f>C13/E13</x:f>
        <x:v>60.878787878787875</x:v>
      </x:c>
      <x:c r="J13" s="1"/>
    </x:row>
    <x:row r="14" ht="22" customHeight="1">
      <x:c r="A14" s="24" t="n">
        <x:v>2023</x:v>
      </x:c>
      <x:c r="B14" s="16">
        <x:f>'11_Berechnungsbasis'!B14</x:f>
        <x:v>275800</x:v>
      </x:c>
      <x:c r="C14" s="16">
        <x:f>'11_Berechnungsbasis'!C14</x:f>
        <x:v>3417</x:v>
      </x:c>
      <x:c r="D14" s="25">
        <x:f>C14/B14</x:f>
        <x:v>0.012389412617839013</x:v>
      </x:c>
      <x:c r="E14" s="16">
        <x:f>'11_Berechnungsbasis'!H14</x:f>
        <x:v>67</x:v>
      </x:c>
      <x:c r="F14" s="16">
        <x:f>'11_Berechnungsbasis'!G14</x:f>
        <x:v>68</x:v>
      </x:c>
      <x:c r="G14" s="25">
        <x:f>E14/F14</x:f>
        <x:v>0.9852941176470589</x:v>
      </x:c>
      <x:c r="H14" s="16">
        <x:f>'11_Berechnungsbasis'!J14</x:f>
        <x:v>871</x:v>
      </x:c>
      <x:c r="I14" s="26">
        <x:f>C14/E14</x:f>
        <x:v>51.0</x:v>
      </x:c>
      <x:c r="J14" s="1"/>
    </x:row>
    <x:row r="15" ht="22" customHeight="1">
      <x:c r="A15" s="21" t="n">
        <x:v>2024</x:v>
      </x:c>
      <x:c r="B15" s="14">
        <x:f>'11_Berechnungsbasis'!B15</x:f>
        <x:v>241408</x:v>
      </x:c>
      <x:c r="C15" s="14">
        <x:f>'11_Berechnungsbasis'!C15</x:f>
        <x:v>4026</x:v>
      </x:c>
      <x:c r="D15" s="22">
        <x:f>C15/B15</x:f>
        <x:v>0.01667716065747614</x:v>
      </x:c>
      <x:c r="E15" s="14">
        <x:f>'11_Berechnungsbasis'!H15</x:f>
        <x:v>61</x:v>
      </x:c>
      <x:c r="F15" s="14">
        <x:f>'11_Berechnungsbasis'!G15</x:f>
        <x:v>63</x:v>
      </x:c>
      <x:c r="G15" s="22">
        <x:f>E15/F15</x:f>
        <x:v>0.9682539682539683</x:v>
      </x:c>
      <x:c r="H15" s="14">
        <x:f>'11_Berechnungsbasis'!J15</x:f>
        <x:v>748</x:v>
      </x:c>
      <x:c r="I15" s="23">
        <x:f>C15/E15</x:f>
        <x:v>66.0</x:v>
      </x:c>
      <x:c r="J15" s="1"/>
    </x:row>
    <x:row r="16" ht="22" customHeight="1">
      <x:c r="A16" s="24" t="n">
        <x:v>2025</x:v>
      </x:c>
      <x:c r="B16" s="16">
        <x:f>'11_Berechnungsbasis'!B16</x:f>
        <x:v>204538</x:v>
      </x:c>
      <x:c r="C16" s="16">
        <x:f>'11_Berechnungsbasis'!C16</x:f>
        <x:v>2279</x:v>
      </x:c>
      <x:c r="D16" s="25">
        <x:f>C16/B16</x:f>
        <x:v>0.011142183848478033</x:v>
      </x:c>
      <x:c r="E16" s="16">
        <x:f>'11_Berechnungsbasis'!H16</x:f>
        <x:v>54</x:v>
      </x:c>
      <x:c r="F16" s="16">
        <x:f>'11_Berechnungsbasis'!G16</x:f>
        <x:v>57</x:v>
      </x:c>
      <x:c r="G16" s="25">
        <x:f>E16/F16</x:f>
        <x:v>0.9473684210526315</x:v>
      </x:c>
      <x:c r="H16" s="16">
        <x:f>'11_Berechnungsbasis'!J16</x:f>
        <x:v>570</x:v>
      </x:c>
      <x:c r="I16" s="26">
        <x:f>C16/E16</x:f>
        <x:v>42.2037037037037</x:v>
      </x:c>
      <x:c r="J16" s="1"/>
    </x:row>
    <x:row r="17" ht="22" customHeight="1">
      <x:c r="A17" s="27" t="inlineStr">
        <x:is>
          <x:t xml:space="preserve">2018–2025</x:t>
        </x:is>
      </x:c>
      <x:c r="B17" s="28">
        <x:f>SUM(B9:B16)</x:f>
        <x:v>1912729</x:v>
      </x:c>
      <x:c r="C17" s="28">
        <x:f>SUM(C9:C16)</x:f>
        <x:v>25247</x:v>
      </x:c>
      <x:c r="D17" s="29">
        <x:f>C17/B17</x:f>
        <x:v>0.013199465266642582</x:v>
      </x:c>
      <x:c r="E17" s="28">
        <x:f>SUM(E9:E16)</x:f>
        <x:v>469</x:v>
      </x:c>
      <x:c r="F17" s="28">
        <x:f>SUM(F9:F16)</x:f>
        <x:v>499</x:v>
      </x:c>
      <x:c r="G17" s="29">
        <x:f>E17/F17</x:f>
        <x:v>0.9398797595190381</x:v>
      </x:c>
      <x:c r="H17" s="28">
        <x:f>SUM(H9:H16)</x:f>
        <x:v>5556</x:v>
      </x:c>
      <x:c r="I17" s="30">
        <x:f>C17/E17</x:f>
        <x:v>53.83155650319829</x:v>
      </x:c>
      <x:c r="J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 ht="26" customHeight="1">
      <x:c r="A20" s="10" t="inlineStr">
        <x:is>
          <x:t xml:space="preserve">Dimensionen innerhalb von Agrar und Ernährung</x:t>
        </x:is>
      </x:c>
      <x:c r="B20" s="1"/>
      <x:c r="C20" s="1"/>
      <x:c r="D20" s="1"/>
      <x:c r="E20" s="1"/>
      <x:c r="F20" s="1"/>
      <x:c r="G20" s="1"/>
      <x:c r="H20" s="1"/>
      <x:c r="I20" s="1"/>
      <x:c r="J20" s="1"/>
    </x:row>
    <x:row r="21" ht="54" customHeight="1">
      <x:c r="A21" s="11" t="inlineStr">
        <x:is>
          <x:t xml:space="preserve">Jahr</x:t>
        </x:is>
      </x:c>
      <x:c r="B21" s="20" t="inlineStr">
        <x:is>
          <x:t xml:space="preserve">A&amp;E-Sätze</x:t>
        </x:is>
      </x:c>
      <x:c r="C21" s="20" t="inlineStr">
        <x:is>
          <x:t xml:space="preserve">Ökologie n</x:t>
        </x:is>
      </x:c>
      <x:c r="D21" s="20" t="inlineStr">
        <x:is>
          <x:t xml:space="preserve">Ökologie / A&amp;E</x:t>
        </x:is>
      </x:c>
      <x:c r="E21" s="20" t="inlineStr">
        <x:is>
          <x:t xml:space="preserve">Ökonomie n</x:t>
        </x:is>
      </x:c>
      <x:c r="F21" s="20" t="inlineStr">
        <x:is>
          <x:t xml:space="preserve">Ökonomie / A&amp;E</x:t>
        </x:is>
      </x:c>
      <x:c r="G21" s="20" t="inlineStr">
        <x:is>
          <x:t xml:space="preserve">S&amp;R n</x:t>
        </x:is>
      </x:c>
      <x:c r="H21" s="20" t="inlineStr">
        <x:is>
          <x:t xml:space="preserve">S&amp;R / A&amp;E</x:t>
        </x:is>
      </x:c>
      <x:c r="I21" s="12" t="inlineStr">
        <x:is>
          <x:t xml:space="preserve">Öko minus Ökon (PP)</x:t>
        </x:is>
      </x:c>
      <x:c r="J21" s="1"/>
    </x:row>
    <x:row r="22" ht="22" customHeight="1">
      <x:c r="A22" s="21" t="n">
        <x:v>2018</x:v>
      </x:c>
      <x:c r="B22" s="14">
        <x:f>'11_Berechnungsbasis'!C9</x:f>
        <x:v>3254</x:v>
      </x:c>
      <x:c r="C22" s="14">
        <x:f>'11_Berechnungsbasis'!D9</x:f>
        <x:v>993</x:v>
      </x:c>
      <x:c r="D22" s="22">
        <x:f>C22/B22</x:f>
        <x:v>0.3051628764597419</x:v>
      </x:c>
      <x:c r="E22" s="14">
        <x:f>'11_Berechnungsbasis'!E9</x:f>
        <x:v>530</x:v>
      </x:c>
      <x:c r="F22" s="22">
        <x:f>E22/B22</x:f>
        <x:v>0.1628764597418562</x:v>
      </x:c>
      <x:c r="G22" s="14">
        <x:f>'11_Berechnungsbasis'!F9</x:f>
        <x:v>41</x:v>
      </x:c>
      <x:c r="H22" s="22">
        <x:f>G22/B22</x:f>
        <x:v>0.012599877074370006</x:v>
      </x:c>
      <x:c r="I22" s="31">
        <x:f>(D22-F22)*100</x:f>
        <x:v>14.22864167178857</x:v>
      </x:c>
      <x:c r="J22" s="1"/>
    </x:row>
    <x:row r="23" ht="22" customHeight="1">
      <x:c r="A23" s="24" t="n">
        <x:v>2019</x:v>
      </x:c>
      <x:c r="B23" s="16">
        <x:f>'11_Berechnungsbasis'!C10</x:f>
        <x:v>2800</x:v>
      </x:c>
      <x:c r="C23" s="16">
        <x:f>'11_Berechnungsbasis'!D10</x:f>
        <x:v>849</x:v>
      </x:c>
      <x:c r="D23" s="25">
        <x:f>C23/B23</x:f>
        <x:v>0.3032142857142857</x:v>
      </x:c>
      <x:c r="E23" s="16">
        <x:f>'11_Berechnungsbasis'!E10</x:f>
        <x:v>435</x:v>
      </x:c>
      <x:c r="F23" s="25">
        <x:f>E23/B23</x:f>
        <x:v>0.15535714285714286</x:v>
      </x:c>
      <x:c r="G23" s="16">
        <x:f>'11_Berechnungsbasis'!F10</x:f>
        <x:v>52</x:v>
      </x:c>
      <x:c r="H23" s="25">
        <x:f>G23/B23</x:f>
        <x:v>0.018571428571428572</x:v>
      </x:c>
      <x:c r="I23" s="32">
        <x:f>(D23-F23)*100</x:f>
        <x:v>14.785714285714285</x:v>
      </x:c>
      <x:c r="J23" s="1"/>
    </x:row>
    <x:row r="24" ht="22" customHeight="1">
      <x:c r="A24" s="21" t="n">
        <x:v>2020</x:v>
      </x:c>
      <x:c r="B24" s="14">
        <x:f>'11_Berechnungsbasis'!C11</x:f>
        <x:v>3133</x:v>
      </x:c>
      <x:c r="C24" s="14">
        <x:f>'11_Berechnungsbasis'!D11</x:f>
        <x:v>734</x:v>
      </x:c>
      <x:c r="D24" s="22">
        <x:f>C24/B24</x:f>
        <x:v>0.23428024257899777</x:v>
      </x:c>
      <x:c r="E24" s="14">
        <x:f>'11_Berechnungsbasis'!E11</x:f>
        <x:v>524</x:v>
      </x:c>
      <x:c r="F24" s="22">
        <x:f>E24/B24</x:f>
        <x:v>0.16725183530162782</x:v>
      </x:c>
      <x:c r="G24" s="14">
        <x:f>'11_Berechnungsbasis'!F11</x:f>
        <x:v>79</x:v>
      </x:c>
      <x:c r="H24" s="22">
        <x:f>G24/B24</x:f>
        <x:v>0.025215448451962975</x:v>
      </x:c>
      <x:c r="I24" s="31">
        <x:f>(D24-F24)*100</x:f>
        <x:v>6.702840727736994</x:v>
      </x:c>
      <x:c r="J24" s="1"/>
    </x:row>
    <x:row r="25" ht="22" customHeight="1">
      <x:c r="A25" s="24" t="n">
        <x:v>2021</x:v>
      </x:c>
      <x:c r="B25" s="16">
        <x:f>'11_Berechnungsbasis'!C12</x:f>
        <x:v>2320</x:v>
      </x:c>
      <x:c r="C25" s="16">
        <x:f>'11_Berechnungsbasis'!D12</x:f>
        <x:v>801</x:v>
      </x:c>
      <x:c r="D25" s="25">
        <x:f>C25/B25</x:f>
        <x:v>0.3452586206896552</x:v>
      </x:c>
      <x:c r="E25" s="16">
        <x:f>'11_Berechnungsbasis'!E12</x:f>
        <x:v>520</x:v>
      </x:c>
      <x:c r="F25" s="25">
        <x:f>E25/B25</x:f>
        <x:v>0.22413793103448276</x:v>
      </x:c>
      <x:c r="G25" s="16">
        <x:f>'11_Berechnungsbasis'!F12</x:f>
        <x:v>59</x:v>
      </x:c>
      <x:c r="H25" s="25">
        <x:f>G25/B25</x:f>
        <x:v>0.02543103448275862</x:v>
      </x:c>
      <x:c r="I25" s="32">
        <x:f>(D25-F25)*100</x:f>
        <x:v>12.112068965517242</x:v>
      </x:c>
      <x:c r="J25" s="1"/>
    </x:row>
    <x:row r="26" ht="22" customHeight="1">
      <x:c r="A26" s="21" t="n">
        <x:v>2022</x:v>
      </x:c>
      <x:c r="B26" s="14">
        <x:f>'11_Berechnungsbasis'!C13</x:f>
        <x:v>4018</x:v>
      </x:c>
      <x:c r="C26" s="14">
        <x:f>'11_Berechnungsbasis'!D13</x:f>
        <x:v>931</x:v>
      </x:c>
      <x:c r="D26" s="22">
        <x:f>C26/B26</x:f>
        <x:v>0.23170731707317074</x:v>
      </x:c>
      <x:c r="E26" s="14">
        <x:f>'11_Berechnungsbasis'!E13</x:f>
        <x:v>1173</x:v>
      </x:c>
      <x:c r="F26" s="22">
        <x:f>E26/B26</x:f>
        <x:v>0.29193628670980587</x:v>
      </x:c>
      <x:c r="G26" s="14">
        <x:f>'11_Berechnungsbasis'!F13</x:f>
        <x:v>403</x:v>
      </x:c>
      <x:c r="H26" s="22">
        <x:f>G26/B26</x:f>
        <x:v>0.10029865604778497</x:v>
      </x:c>
      <x:c r="I26" s="31">
        <x:f>(D26-F26)*100</x:f>
        <x:v>-6.022896963663513</x:v>
      </x:c>
      <x:c r="J26" s="1"/>
    </x:row>
    <x:row r="27" ht="22" customHeight="1">
      <x:c r="A27" s="24" t="n">
        <x:v>2023</x:v>
      </x:c>
      <x:c r="B27" s="16">
        <x:f>'11_Berechnungsbasis'!C14</x:f>
        <x:v>3417</x:v>
      </x:c>
      <x:c r="C27" s="16">
        <x:f>'11_Berechnungsbasis'!D14</x:f>
        <x:v>924</x:v>
      </x:c>
      <x:c r="D27" s="25">
        <x:f>C27/B27</x:f>
        <x:v>0.2704126426690079</x:v>
      </x:c>
      <x:c r="E27" s="16">
        <x:f>'11_Berechnungsbasis'!E14</x:f>
        <x:v>748</x:v>
      </x:c>
      <x:c r="F27" s="25">
        <x:f>E27/B27</x:f>
        <x:v>0.21890547263681592</x:v>
      </x:c>
      <x:c r="G27" s="16">
        <x:f>'11_Berechnungsbasis'!F14</x:f>
        <x:v>217</x:v>
      </x:c>
      <x:c r="H27" s="25">
        <x:f>G27/B27</x:f>
        <x:v>0.06350599941469125</x:v>
      </x:c>
      <x:c r="I27" s="32">
        <x:f>(D27-F27)*100</x:f>
        <x:v>5.150717003219196</x:v>
      </x:c>
      <x:c r="J27" s="1"/>
    </x:row>
    <x:row r="28" ht="22" customHeight="1">
      <x:c r="A28" s="21" t="n">
        <x:v>2024</x:v>
      </x:c>
      <x:c r="B28" s="14">
        <x:f>'11_Berechnungsbasis'!C15</x:f>
        <x:v>4026</x:v>
      </x:c>
      <x:c r="C28" s="14">
        <x:f>'11_Berechnungsbasis'!D15</x:f>
        <x:v>707</x:v>
      </x:c>
      <x:c r="D28" s="22">
        <x:f>C28/B28</x:f>
        <x:v>0.1756085444610035</x:v>
      </x:c>
      <x:c r="E28" s="14">
        <x:f>'11_Berechnungsbasis'!E15</x:f>
        <x:v>1242</x:v>
      </x:c>
      <x:c r="F28" s="22">
        <x:f>E28/B28</x:f>
        <x:v>0.30849478390462</x:v>
      </x:c>
      <x:c r="G28" s="14">
        <x:f>'11_Berechnungsbasis'!F15</x:f>
        <x:v>95</x:v>
      </x:c>
      <x:c r="H28" s="22">
        <x:f>G28/B28</x:f>
        <x:v>0.023596621957277696</x:v>
      </x:c>
      <x:c r="I28" s="31">
        <x:f>(D28-F28)*100</x:f>
        <x:v>-13.28862394436165</x:v>
      </x:c>
      <x:c r="J28" s="1"/>
    </x:row>
    <x:row r="29" ht="22" customHeight="1">
      <x:c r="A29" s="24" t="n">
        <x:v>2025</x:v>
      </x:c>
      <x:c r="B29" s="16">
        <x:f>'11_Berechnungsbasis'!C16</x:f>
        <x:v>2279</x:v>
      </x:c>
      <x:c r="C29" s="16">
        <x:f>'11_Berechnungsbasis'!D16</x:f>
        <x:v>542</x:v>
      </x:c>
      <x:c r="D29" s="25">
        <x:f>C29/B29</x:f>
        <x:v>0.2378236068451075</x:v>
      </x:c>
      <x:c r="E29" s="16">
        <x:f>'11_Berechnungsbasis'!E16</x:f>
        <x:v>677</x:v>
      </x:c>
      <x:c r="F29" s="25">
        <x:f>E29/B29</x:f>
        <x:v>0.29706011408512506</x:v>
      </x:c>
      <x:c r="G29" s="16">
        <x:f>'11_Berechnungsbasis'!F16</x:f>
        <x:v>102</x:v>
      </x:c>
      <x:c r="H29" s="25">
        <x:f>G29/B29</x:f>
        <x:v>0.04475647213690215</x:v>
      </x:c>
      <x:c r="I29" s="32">
        <x:f>(D29-F29)*100</x:f>
        <x:v>-5.923650724001756</x:v>
      </x:c>
      <x:c r="J29" s="1"/>
    </x:row>
    <x:row r="30" ht="22" customHeight="1">
      <x:c r="A30" s="27" t="inlineStr">
        <x:is>
          <x:t xml:space="preserve">2018–2025</x:t>
        </x:is>
      </x:c>
      <x:c r="B30" s="28">
        <x:f>SUM(B22:B29)</x:f>
        <x:v>25247</x:v>
      </x:c>
      <x:c r="C30" s="28">
        <x:f>SUM(C22:C29)</x:f>
        <x:v>6481</x:v>
      </x:c>
      <x:c r="D30" s="29">
        <x:f>C30/B30</x:f>
        <x:v>0.2567037667841724</x:v>
      </x:c>
      <x:c r="E30" s="28">
        <x:f>SUM(E22:E29)</x:f>
        <x:v>5849</x:v>
      </x:c>
      <x:c r="F30" s="29">
        <x:f>E30/B30</x:f>
        <x:v>0.23167108963441202</x:v>
      </x:c>
      <x:c r="G30" s="28">
        <x:f>SUM(G22:G29)</x:f>
        <x:v>1048</x:v>
      </x:c>
      <x:c r="H30" s="29">
        <x:f>G30/B30</x:f>
        <x:v>0.041509882362260865</x:v>
      </x:c>
      <x:c r="I30" s="33">
        <x:f>(D30-F30)*100</x:f>
        <x:v>2.5032677149760376</x:v>
      </x:c>
      <x:c r="J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26" customHeight="1">
      <x:c r="A33" s="10" t="inlineStr">
        <x:is>
          <x:t xml:space="preserve">Gepoolte Kalenderjahresblöcke</x:t>
        </x:is>
      </x:c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54" customHeight="1">
      <x:c r="A34" s="11" t="inlineStr">
        <x:is>
          <x:t xml:space="preserve">Zeitraum</x:t>
        </x:is>
      </x:c>
      <x:c r="B34" s="20" t="inlineStr">
        <x:is>
          <x:t xml:space="preserve">Plenarsätze</x:t>
        </x:is>
      </x:c>
      <x:c r="C34" s="20" t="inlineStr">
        <x:is>
          <x:t xml:space="preserve">A&amp;E-Sätze</x:t>
        </x:is>
      </x:c>
      <x:c r="D34" s="20" t="inlineStr">
        <x:is>
          <x:t xml:space="preserve">Ökologie n</x:t>
        </x:is>
      </x:c>
      <x:c r="E34" s="20" t="inlineStr">
        <x:is>
          <x:t xml:space="preserve">Ökonomie n</x:t>
        </x:is>
      </x:c>
      <x:c r="F34" s="20" t="inlineStr">
        <x:is>
          <x:t xml:space="preserve">S&amp;R n</x:t>
        </x:is>
      </x:c>
      <x:c r="G34" s="20" t="inlineStr">
        <x:is>
          <x:t xml:space="preserve">A&amp;E / Plenum</x:t>
        </x:is>
      </x:c>
      <x:c r="H34" s="20" t="inlineStr">
        <x:is>
          <x:t xml:space="preserve">Ökologie / A&amp;E</x:t>
        </x:is>
      </x:c>
      <x:c r="I34" s="20" t="inlineStr">
        <x:is>
          <x:t xml:space="preserve">Ökonomie / A&amp;E</x:t>
        </x:is>
      </x:c>
      <x:c r="J34" s="12" t="inlineStr">
        <x:is>
          <x:t xml:space="preserve">S&amp;R / A&amp;E</x:t>
        </x:is>
      </x:c>
    </x:row>
    <x:row r="35" ht="22" customHeight="1">
      <x:c r="A35" s="13" t="inlineStr">
        <x:is>
          <x:t xml:space="preserve">2018–2021</x:t>
        </x:is>
      </x:c>
      <x:c r="B35" s="14">
        <x:f>SUM('11_Berechnungsbasis'!B9:B12)</x:f>
        <x:v>921578</x:v>
      </x:c>
      <x:c r="C35" s="14">
        <x:f>SUM('11_Berechnungsbasis'!C9:C12)</x:f>
        <x:v>11507</x:v>
      </x:c>
      <x:c r="D35" s="14">
        <x:f>SUM('11_Berechnungsbasis'!D9:D12)</x:f>
        <x:v>3377</x:v>
      </x:c>
      <x:c r="E35" s="14">
        <x:f>SUM('11_Berechnungsbasis'!E9:E12)</x:f>
        <x:v>2009</x:v>
      </x:c>
      <x:c r="F35" s="14">
        <x:f>SUM('11_Berechnungsbasis'!F9:F12)</x:f>
        <x:v>231</x:v>
      </x:c>
      <x:c r="G35" s="22">
        <x:f>C35/B35</x:f>
        <x:v>0.012486192161705248</x:v>
      </x:c>
      <x:c r="H35" s="22">
        <x:f>D35/C35</x:f>
        <x:v>0.2934735378465282</x:v>
      </x:c>
      <x:c r="I35" s="22">
        <x:f>E35/C35</x:f>
        <x:v>0.17458938037716173</x:v>
      </x:c>
      <x:c r="J35" s="22">
        <x:f>F35/C35</x:f>
        <x:v>0.02007473711653776</x:v>
      </x:c>
    </x:row>
    <x:row r="36" ht="22" customHeight="1">
      <x:c r="A36" s="34" t="inlineStr">
        <x:is>
          <x:t xml:space="preserve">2022–2025</x:t>
        </x:is>
      </x:c>
      <x:c r="B36" s="35">
        <x:f>SUM('11_Berechnungsbasis'!B13:B16)</x:f>
        <x:v>991151</x:v>
      </x:c>
      <x:c r="C36" s="35">
        <x:f>SUM('11_Berechnungsbasis'!C13:C16)</x:f>
        <x:v>13740</x:v>
      </x:c>
      <x:c r="D36" s="35">
        <x:f>SUM('11_Berechnungsbasis'!D13:D16)</x:f>
        <x:v>3104</x:v>
      </x:c>
      <x:c r="E36" s="35">
        <x:f>SUM('11_Berechnungsbasis'!E13:E16)</x:f>
        <x:v>3840</x:v>
      </x:c>
      <x:c r="F36" s="35">
        <x:f>SUM('11_Berechnungsbasis'!F13:F16)</x:f>
        <x:v>817</x:v>
      </x:c>
      <x:c r="G36" s="36">
        <x:f>C36/B36</x:f>
        <x:v>0.01386267077367626</x:v>
      </x:c>
      <x:c r="H36" s="36">
        <x:f>D36/C36</x:f>
        <x:v>0.22590975254730714</x:v>
      </x:c>
      <x:c r="I36" s="36">
        <x:f>E36/C36</x:f>
        <x:v>0.2794759825327511</x:v>
      </x:c>
      <x:c r="J36" s="36">
        <x:f>F36/C36</x:f>
        <x:v>0.05946142649199418</x:v>
      </x:c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 ht="26" customHeight="1">
      <x:c r="A39" s="10" t="inlineStr">
        <x:is>
          <x:t xml:space="preserve">Veränderungen gegenüber dem Vorjahr</x:t>
        </x:is>
      </x:c>
      <x:c r="B39" s="1"/>
      <x:c r="C39" s="1"/>
      <x:c r="D39" s="1"/>
      <x:c r="E39" s="1"/>
      <x:c r="F39" s="1"/>
      <x:c r="G39" s="1"/>
      <x:c r="H39" s="1"/>
      <x:c r="I39" s="1"/>
      <x:c r="J39" s="1"/>
    </x:row>
    <x:row r="40" ht="54" customHeight="1">
      <x:c r="A40" s="11" t="inlineStr">
        <x:is>
          <x:t xml:space="preserve">Übergang</x:t>
        </x:is>
      </x:c>
      <x:c r="B40" s="20" t="inlineStr">
        <x:is>
          <x:t xml:space="preserve">A&amp;E Δn</x:t>
        </x:is>
      </x:c>
      <x:c r="C40" s="20" t="inlineStr">
        <x:is>
          <x:t xml:space="preserve">A&amp;E ΔPP</x:t>
        </x:is>
      </x:c>
      <x:c r="D40" s="20" t="inlineStr">
        <x:is>
          <x:t xml:space="preserve">Ökologie Δn</x:t>
        </x:is>
      </x:c>
      <x:c r="E40" s="20" t="inlineStr">
        <x:is>
          <x:t xml:space="preserve">Ökologie ΔPP</x:t>
        </x:is>
      </x:c>
      <x:c r="F40" s="20" t="inlineStr">
        <x:is>
          <x:t xml:space="preserve">Ökonomie Δn</x:t>
        </x:is>
      </x:c>
      <x:c r="G40" s="20" t="inlineStr">
        <x:is>
          <x:t xml:space="preserve">Ökonomie ΔPP</x:t>
        </x:is>
      </x:c>
      <x:c r="H40" s="20" t="inlineStr">
        <x:is>
          <x:t xml:space="preserve">S&amp;R Δn</x:t>
        </x:is>
      </x:c>
      <x:c r="I40" s="12" t="inlineStr">
        <x:is>
          <x:t xml:space="preserve">S&amp;R ΔPP</x:t>
        </x:is>
      </x:c>
      <x:c r="J40" s="1"/>
    </x:row>
    <x:row r="41" ht="22" customHeight="1">
      <x:c r="A41" s="13" t="inlineStr">
        <x:is>
          <x:t xml:space="preserve">2018/2019</x:t>
        </x:is>
      </x:c>
      <x:c r="B41" s="14">
        <x:f>'01_Haupttabellen'!C10-'01_Haupttabellen'!C9</x:f>
        <x:v>-454</x:v>
      </x:c>
      <x:c r="C41" s="31">
        <x:f>('01_Haupttabellen'!D10-'01_Haupttabellen'!D9)*100</x:f>
        <x:v>-0.26475829585170807</x:v>
      </x:c>
      <x:c r="D41" s="14">
        <x:f>'01_Haupttabellen'!C23-'01_Haupttabellen'!C22</x:f>
        <x:v>-144</x:v>
      </x:c>
      <x:c r="E41" s="31">
        <x:f>('01_Haupttabellen'!D23-'01_Haupttabellen'!D22)*100</x:f>
        <x:v>-0.1948590745456169</x:v>
      </x:c>
      <x:c r="F41" s="14">
        <x:f>'01_Haupttabellen'!E23-'01_Haupttabellen'!E22</x:f>
        <x:v>-95</x:v>
      </x:c>
      <x:c r="G41" s="31">
        <x:f>('01_Haupttabellen'!F23-'01_Haupttabellen'!F22)*100</x:f>
        <x:v>-0.7519316884713328</x:v>
      </x:c>
      <x:c r="H41" s="14">
        <x:f>'01_Haupttabellen'!G23-'01_Haupttabellen'!G22</x:f>
        <x:v>11</x:v>
      </x:c>
      <x:c r="I41" s="31">
        <x:f>('01_Haupttabellen'!H23-'01_Haupttabellen'!H22)*100</x:f>
        <x:v>0.5971551497058567</x:v>
      </x:c>
      <x:c r="J41" s="1"/>
    </x:row>
    <x:row r="42" ht="22" customHeight="1">
      <x:c r="A42" s="15" t="inlineStr">
        <x:is>
          <x:t xml:space="preserve">2019/2020</x:t>
        </x:is>
      </x:c>
      <x:c r="B42" s="16">
        <x:f>'01_Haupttabellen'!C11-'01_Haupttabellen'!C10</x:f>
        <x:v>333</x:v>
      </x:c>
      <x:c r="C42" s="32">
        <x:f>('01_Haupttabellen'!D11-'01_Haupttabellen'!D10)*100</x:f>
        <x:v>0.2033339107194651</x:v>
      </x:c>
      <x:c r="D42" s="16">
        <x:f>'01_Haupttabellen'!C24-'01_Haupttabellen'!C23</x:f>
        <x:v>-115</x:v>
      </x:c>
      <x:c r="E42" s="32">
        <x:f>('01_Haupttabellen'!D24-'01_Haupttabellen'!D23)*100</x:f>
        <x:v>-6.893404313528794</x:v>
      </x:c>
      <x:c r="F42" s="16">
        <x:f>'01_Haupttabellen'!E24-'01_Haupttabellen'!E23</x:f>
        <x:v>89</x:v>
      </x:c>
      <x:c r="G42" s="32">
        <x:f>('01_Haupttabellen'!F24-'01_Haupttabellen'!F23)*100</x:f>
        <x:v>1.189469244448496</x:v>
      </x:c>
      <x:c r="H42" s="16">
        <x:f>'01_Haupttabellen'!G24-'01_Haupttabellen'!G23</x:f>
        <x:v>27</x:v>
      </x:c>
      <x:c r="I42" s="32">
        <x:f>('01_Haupttabellen'!H24-'01_Haupttabellen'!H23)*100</x:f>
        <x:v>0.6644019880534403</x:v>
      </x:c>
      <x:c r="J42" s="1"/>
    </x:row>
    <x:row r="43" ht="22" customHeight="1">
      <x:c r="A43" s="13" t="inlineStr">
        <x:is>
          <x:t xml:space="preserve">2020/2021</x:t>
        </x:is>
      </x:c>
      <x:c r="B43" s="14">
        <x:f>'01_Haupttabellen'!C12-'01_Haupttabellen'!C11</x:f>
        <x:v>-813</x:v>
      </x:c>
      <x:c r="C43" s="31">
        <x:f>('01_Haupttabellen'!D12-'01_Haupttabellen'!D11)*100</x:f>
        <x:v>0.03856943058608824</x:v>
      </x:c>
      <x:c r="D43" s="14">
        <x:f>'01_Haupttabellen'!C25-'01_Haupttabellen'!C24</x:f>
        <x:v>67</x:v>
      </x:c>
      <x:c r="E43" s="31">
        <x:f>('01_Haupttabellen'!D25-'01_Haupttabellen'!D24)*100</x:f>
        <x:v>11.097837811065741</x:v>
      </x:c>
      <x:c r="F43" s="14">
        <x:f>'01_Haupttabellen'!E25-'01_Haupttabellen'!E24</x:f>
        <x:v>-4</x:v>
      </x:c>
      <x:c r="G43" s="31">
        <x:f>('01_Haupttabellen'!F25-'01_Haupttabellen'!F24)*100</x:f>
        <x:v>5.688609573285494</x:v>
      </x:c>
      <x:c r="H43" s="14">
        <x:f>'01_Haupttabellen'!G25-'01_Haupttabellen'!G24</x:f>
        <x:v>-20</x:v>
      </x:c>
      <x:c r="I43" s="31">
        <x:f>('01_Haupttabellen'!H25-'01_Haupttabellen'!H24)*100</x:f>
        <x:v>0.021558603079564406</x:v>
      </x:c>
      <x:c r="J43" s="1"/>
    </x:row>
    <x:row r="44" ht="22" customHeight="1">
      <x:c r="A44" s="15" t="inlineStr">
        <x:is>
          <x:t xml:space="preserve">2021/2022</x:t>
        </x:is>
      </x:c>
      <x:c r="B44" s="16">
        <x:f>'01_Haupttabellen'!C13-'01_Haupttabellen'!C12</x:f>
        <x:v>1698</x:v>
      </x:c>
      <x:c r="C44" s="32">
        <x:f>('01_Haupttabellen'!D13-'01_Haupttabellen'!D12)*100</x:f>
        <x:v>0.17048351590840793</x:v>
      </x:c>
      <x:c r="D44" s="16">
        <x:f>'01_Haupttabellen'!C26-'01_Haupttabellen'!C25</x:f>
        <x:v>130</x:v>
      </x:c>
      <x:c r="E44" s="32">
        <x:f>('01_Haupttabellen'!D26-'01_Haupttabellen'!D25)*100</x:f>
        <x:v>-11.355130361648444</x:v>
      </x:c>
      <x:c r="F44" s="16">
        <x:f>'01_Haupttabellen'!E26-'01_Haupttabellen'!E25</x:f>
        <x:v>653</x:v>
      </x:c>
      <x:c r="G44" s="32">
        <x:f>('01_Haupttabellen'!F26-'01_Haupttabellen'!F25)*100</x:f>
        <x:v>6.779835567532311</x:v>
      </x:c>
      <x:c r="H44" s="16">
        <x:f>'01_Haupttabellen'!G26-'01_Haupttabellen'!G25</x:f>
        <x:v>344</x:v>
      </x:c>
      <x:c r="I44" s="32">
        <x:f>('01_Haupttabellen'!H26-'01_Haupttabellen'!H25)*100</x:f>
        <x:v>7.486762156502635</x:v>
      </x:c>
      <x:c r="J44" s="1"/>
    </x:row>
    <x:row r="45" ht="22" customHeight="1">
      <x:c r="A45" s="13" t="inlineStr">
        <x:is>
          <x:t xml:space="preserve">2022/2023</x:t>
        </x:is>
      </x:c>
      <x:c r="B45" s="14">
        <x:f>'01_Haupttabellen'!C14-'01_Haupttabellen'!C13</x:f>
        <x:v>-601</x:v>
      </x:c>
      <x:c r="C45" s="31">
        <x:f>('01_Haupttabellen'!D14-'01_Haupttabellen'!D13)*100</x:f>
        <x:v>-0.25249356681987367</x:v>
      </x:c>
      <x:c r="D45" s="14">
        <x:f>'01_Haupttabellen'!C27-'01_Haupttabellen'!C26</x:f>
        <x:v>-7</x:v>
      </x:c>
      <x:c r="E45" s="31">
        <x:f>('01_Haupttabellen'!D27-'01_Haupttabellen'!D26)*100</x:f>
        <x:v>3.8705325595837143</x:v>
      </x:c>
      <x:c r="F45" s="14">
        <x:f>'01_Haupttabellen'!E27-'01_Haupttabellen'!E26</x:f>
        <x:v>-425</x:v>
      </x:c>
      <x:c r="G45" s="31">
        <x:f>('01_Haupttabellen'!F27-'01_Haupttabellen'!F26)*100</x:f>
        <x:v>-7.303081407298995</x:v>
      </x:c>
      <x:c r="H45" s="14">
        <x:f>'01_Haupttabellen'!G27-'01_Haupttabellen'!G26</x:f>
        <x:v>-186</x:v>
      </x:c>
      <x:c r="I45" s="31">
        <x:f>('01_Haupttabellen'!H27-'01_Haupttabellen'!H26)*100</x:f>
        <x:v>-3.6792656633093723</x:v>
      </x:c>
      <x:c r="J45" s="1"/>
    </x:row>
    <x:row r="46" ht="22" customHeight="1">
      <x:c r="A46" s="15" t="inlineStr">
        <x:is>
          <x:t xml:space="preserve">2023/2024</x:t>
        </x:is>
      </x:c>
      <x:c r="B46" s="16">
        <x:f>'01_Haupttabellen'!C15-'01_Haupttabellen'!C14</x:f>
        <x:v>609</x:v>
      </x:c>
      <x:c r="C46" s="32">
        <x:f>('01_Haupttabellen'!D15-'01_Haupttabellen'!D14)*100</x:f>
        <x:v>0.4287748039637126</x:v>
      </x:c>
      <x:c r="D46" s="16">
        <x:f>'01_Haupttabellen'!C28-'01_Haupttabellen'!C27</x:f>
        <x:v>-217</x:v>
      </x:c>
      <x:c r="E46" s="32">
        <x:f>('01_Haupttabellen'!D28-'01_Haupttabellen'!D27)*100</x:f>
        <x:v>-9.480409820800439</x:v>
      </x:c>
      <x:c r="F46" s="16">
        <x:f>'01_Haupttabellen'!E28-'01_Haupttabellen'!E27</x:f>
        <x:v>494</x:v>
      </x:c>
      <x:c r="G46" s="32">
        <x:f>('01_Haupttabellen'!F28-'01_Haupttabellen'!F27)*100</x:f>
        <x:v>8.958931126780406</x:v>
      </x:c>
      <x:c r="H46" s="16">
        <x:f>'01_Haupttabellen'!G28-'01_Haupttabellen'!G27</x:f>
        <x:v>-122</x:v>
      </x:c>
      <x:c r="I46" s="32">
        <x:f>('01_Haupttabellen'!H28-'01_Haupttabellen'!H27)*100</x:f>
        <x:v>-3.9909377457413546</x:v>
      </x:c>
      <x:c r="J46" s="1"/>
    </x:row>
    <x:row r="47" ht="22" customHeight="1">
      <x:c r="A47" s="17" t="inlineStr">
        <x:is>
          <x:t xml:space="preserve">2024/2025</x:t>
        </x:is>
      </x:c>
      <x:c r="B47" s="18">
        <x:f>'01_Haupttabellen'!C16-'01_Haupttabellen'!C15</x:f>
        <x:v>-1747</x:v>
      </x:c>
      <x:c r="C47" s="37">
        <x:f>('01_Haupttabellen'!D16-'01_Haupttabellen'!D15)*100</x:f>
        <x:v>-0.5534976808998107</x:v>
      </x:c>
      <x:c r="D47" s="18">
        <x:f>'01_Haupttabellen'!C29-'01_Haupttabellen'!C28</x:f>
        <x:v>-165</x:v>
      </x:c>
      <x:c r="E47" s="37">
        <x:f>('01_Haupttabellen'!D29-'01_Haupttabellen'!D28)*100</x:f>
        <x:v>6.221506238410401</x:v>
      </x:c>
      <x:c r="F47" s="18">
        <x:f>'01_Haupttabellen'!E29-'01_Haupttabellen'!E28</x:f>
        <x:v>-565</x:v>
      </x:c>
      <x:c r="G47" s="37">
        <x:f>('01_Haupttabellen'!F29-'01_Haupttabellen'!F28)*100</x:f>
        <x:v>-1.1434669819494925</x:v>
      </x:c>
      <x:c r="H47" s="18">
        <x:f>'01_Haupttabellen'!G29-'01_Haupttabellen'!G28</x:f>
        <x:v>7</x:v>
      </x:c>
      <x:c r="I47" s="37">
        <x:f>('01_Haupttabellen'!H29-'01_Haupttabellen'!H28)*100</x:f>
        <x:v>2.115985017962445</x:v>
      </x:c>
      <x:c r="J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 ht="26" customHeight="1">
      <x:c r="A50" s="10" t="inlineStr">
        <x:is>
          <x:t xml:space="preserve">Veränderung zwischen den beiden Vierjahresblöcken</x:t>
        </x:is>
      </x:c>
      <x:c r="B50" s="1"/>
      <x:c r="C50" s="1"/>
      <x:c r="D50" s="1"/>
      <x:c r="E50" s="1"/>
      <x:c r="F50" s="1"/>
      <x:c r="G50" s="1"/>
      <x:c r="H50" s="1"/>
      <x:c r="I50" s="1"/>
      <x:c r="J50" s="1"/>
    </x:row>
    <x:row r="51" ht="54" customHeight="1">
      <x:c r="A51" s="11" t="inlineStr">
        <x:is>
          <x:t xml:space="preserve">Vergleich</x:t>
        </x:is>
      </x:c>
      <x:c r="B51" s="20" t="inlineStr">
        <x:is>
          <x:t xml:space="preserve">A&amp;E ΔPP</x:t>
        </x:is>
      </x:c>
      <x:c r="C51" s="20" t="inlineStr">
        <x:is>
          <x:t xml:space="preserve">Ökologie ΔPP</x:t>
        </x:is>
      </x:c>
      <x:c r="D51" s="20" t="inlineStr">
        <x:is>
          <x:t xml:space="preserve">Ökonomie ΔPP</x:t>
        </x:is>
      </x:c>
      <x:c r="E51" s="12" t="inlineStr">
        <x:is>
          <x:t xml:space="preserve">S&amp;R ΔPP</x:t>
        </x:is>
      </x:c>
      <x:c r="F51" s="1"/>
      <x:c r="G51" s="1"/>
      <x:c r="H51" s="1"/>
      <x:c r="I51" s="1"/>
      <x:c r="J51" s="1"/>
    </x:row>
    <x:row r="52" ht="22" customHeight="1">
      <x:c r="A52" s="17" t="inlineStr">
        <x:is>
          <x:t xml:space="preserve">2022–25 minus 2018–21</x:t>
        </x:is>
      </x:c>
      <x:c r="B52" s="37">
        <x:f>('01_Haupttabellen'!G36-'01_Haupttabellen'!G35)*100</x:f>
        <x:v>0.13764786119710126</x:v>
      </x:c>
      <x:c r="C52" s="37">
        <x:f>('01_Haupttabellen'!H36-'01_Haupttabellen'!H35)*100</x:f>
        <x:v>-6.756378529922105</x:v>
      </x:c>
      <x:c r="D52" s="37">
        <x:f>('01_Haupttabellen'!I36-'01_Haupttabellen'!I35)*100</x:f>
        <x:v>10.488660215558934</x:v>
      </x:c>
      <x:c r="E52" s="37">
        <x:f>('01_Haupttabellen'!J36-'01_Haupttabellen'!J35)*100</x:f>
        <x:v>3.938668937545642</x:v>
      </x:c>
      <x:c r="F52" s="1"/>
      <x:c r="G52" s="1"/>
      <x:c r="H52" s="1"/>
      <x:c r="I52" s="1"/>
      <x:c r="J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24.440000534057617" hidden="0" customWidth="1"/>
    <x:col min="2" max="2" width="13.890000343322754" hidden="0" customWidth="1"/>
    <x:col min="3" max="3" width="13.890000343322754" hidden="0" customWidth="1"/>
    <x:col min="4" max="4" width="13.890000343322754" hidden="0" customWidth="1"/>
    <x:col min="5" max="5" width="13.890000343322754" hidden="0" customWidth="1"/>
    <x:col min="6" max="6" width="13.890000343322754" hidden="0" customWidth="1"/>
    <x:col min="7" max="7" width="13.890000343322754" hidden="0" customWidth="1"/>
    <x:col min="8" max="8" width="13.890000343322754" hidden="0" customWidth="1"/>
    <x:col min="9" max="9" width="13.890000343322754" hidden="0" customWidth="1"/>
    <x:col min="10" max="10" width="13.890000343322754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8" customHeight="1">
      <x:c r="A2" s="2" t="inlineStr">
        <x:is>
          <x:t xml:space="preserve">Fraktionsprofile und Jahresmatrizen</x:t>
        </x:is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2" customHeight="1">
      <x:c r="A3" s="4" t="inlineStr">
        <x:is>
          <x:t xml:space="preserve">Verglichen werden sechs Fraktionen. BSW und fraktionslose Beiträge sind getrennt ausgewiesen.</x:t>
        </x:is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2" customHeight="1">
      <x:c r="A4" s="4" t="inlineStr">
        <x:is>
          <x:t xml:space="preserve">¹ FDP 2025: drei A&amp;E-Sätze. Individuelle Themenanteile werden nicht ausgewiesen; Rohwerte bleiben in Aggregaten.</x:t>
        </x:is>
      </x:c>
      <x:c r="B4" s="1"/>
      <x:c r="C4" s="1"/>
      <x:c r="D4" s="1"/>
      <x:c r="E4" s="1"/>
      <x:c r="F4" s="1"/>
      <x:c r="G4" s="1"/>
      <x:c r="H4" s="1"/>
      <x:c r="I4" s="1"/>
      <x:c r="J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ht="26" customHeight="1">
      <x:c r="A7" s="10" t="inlineStr">
        <x:is>
          <x:t xml:space="preserve">Gesamtzeitraum, Rohwerte und Anteile</x:t>
        </x:is>
      </x:c>
      <x:c r="B7" s="1"/>
      <x:c r="C7" s="1"/>
      <x:c r="D7" s="1"/>
      <x:c r="E7" s="1"/>
      <x:c r="F7" s="1"/>
      <x:c r="G7" s="1"/>
      <x:c r="H7" s="1"/>
      <x:c r="I7" s="1"/>
      <x:c r="J7" s="1"/>
    </x:row>
    <x:row r="8" ht="54" customHeight="1">
      <x:c r="A8" s="11" t="inlineStr">
        <x:is>
          <x:t xml:space="preserve">Fraktion / Gruppe</x:t>
        </x:is>
      </x:c>
      <x:c r="B8" s="20" t="inlineStr">
        <x:is>
          <x:t xml:space="preserve">Plenarsätze</x:t>
        </x:is>
      </x:c>
      <x:c r="C8" s="20" t="inlineStr">
        <x:is>
          <x:t xml:space="preserve">A&amp;E n</x:t>
        </x:is>
      </x:c>
      <x:c r="D8" s="20" t="inlineStr">
        <x:is>
          <x:t xml:space="preserve">A&amp;E / Plenum</x:t>
        </x:is>
      </x:c>
      <x:c r="E8" s="20" t="inlineStr">
        <x:is>
          <x:t xml:space="preserve">Ökologie n</x:t>
        </x:is>
      </x:c>
      <x:c r="F8" s="20" t="inlineStr">
        <x:is>
          <x:t xml:space="preserve">Ökologie / A&amp;E</x:t>
        </x:is>
      </x:c>
      <x:c r="G8" s="20" t="inlineStr">
        <x:is>
          <x:t xml:space="preserve">Ökonomie n</x:t>
        </x:is>
      </x:c>
      <x:c r="H8" s="20" t="inlineStr">
        <x:is>
          <x:t xml:space="preserve">Ökonomie / A&amp;E</x:t>
        </x:is>
      </x:c>
      <x:c r="I8" s="20" t="inlineStr">
        <x:is>
          <x:t xml:space="preserve">S&amp;R n</x:t>
        </x:is>
      </x:c>
      <x:c r="J8" s="12" t="inlineStr">
        <x:is>
          <x:t xml:space="preserve">S&amp;R / A&amp;E</x:t>
        </x:is>
      </x:c>
    </x:row>
    <x:row r="9" ht="25" customHeight="1">
      <x:c r="A9" s="13" t="inlineStr">
        <x:is>
          <x:t xml:space="preserve">CDU/CSU</x:t>
        </x:is>
      </x:c>
      <x:c r="B9" s="14">
        <x:v>560518</x:v>
      </x:c>
      <x:c r="C9" s="14">
        <x:v>7887</x:v>
      </x:c>
      <x:c r="D9" s="22">
        <x:f>C9/B9</x:f>
        <x:v>0.014070912976924916</x:v>
      </x:c>
      <x:c r="E9" s="14">
        <x:v>1925</x:v>
      </x:c>
      <x:c r="F9" s="22">
        <x:f>E9/C9</x:f>
        <x:v>0.24407252440725244</x:v>
      </x:c>
      <x:c r="G9" s="14">
        <x:v>1658</x:v>
      </x:c>
      <x:c r="H9" s="22">
        <x:f>G9/C9</x:f>
        <x:v>0.2102193482946621</x:v>
      </x:c>
      <x:c r="I9" s="14">
        <x:v>254</x:v>
      </x:c>
      <x:c r="J9" s="22">
        <x:f>I9/C9</x:f>
        <x:v>0.03220489412958032</x:v>
      </x:c>
    </x:row>
    <x:row r="10" ht="25" customHeight="1">
      <x:c r="A10" s="15" t="inlineStr">
        <x:is>
          <x:t xml:space="preserve">SPD</x:t>
        </x:is>
      </x:c>
      <x:c r="B10" s="16">
        <x:v>460058</x:v>
      </x:c>
      <x:c r="C10" s="16">
        <x:v>5566</x:v>
      </x:c>
      <x:c r="D10" s="25">
        <x:f>C10/B10</x:f>
        <x:v>0.012098474540166675</x:v>
      </x:c>
      <x:c r="E10" s="16">
        <x:v>1561</x:v>
      </x:c>
      <x:c r="F10" s="25">
        <x:f>E10/C10</x:f>
        <x:v>0.28045274883219545</x:v>
      </x:c>
      <x:c r="G10" s="16">
        <x:v>1073</x:v>
      </x:c>
      <x:c r="H10" s="25">
        <x:f>G10/C10</x:f>
        <x:v>0.19277757815307223</x:v>
      </x:c>
      <x:c r="I10" s="16">
        <x:v>247</x:v>
      </x:c>
      <x:c r="J10" s="25">
        <x:f>I10/C10</x:f>
        <x:v>0.04437657204455624</x:v>
      </x:c>
    </x:row>
    <x:row r="11" ht="25" customHeight="1">
      <x:c r="A11" s="13" t="inlineStr">
        <x:is>
          <x:t xml:space="preserve">Grüne</x:t>
        </x:is>
      </x:c>
      <x:c r="B11" s="14">
        <x:v>254942</x:v>
      </x:c>
      <x:c r="C11" s="14">
        <x:v>3740</x:v>
      </x:c>
      <x:c r="D11" s="22">
        <x:f>C11/B11</x:f>
        <x:v>0.014670003373316283</x:v>
      </x:c>
      <x:c r="E11" s="14">
        <x:v>1188</x:v>
      </x:c>
      <x:c r="F11" s="22">
        <x:f>E11/C11</x:f>
        <x:v>0.3176470588235294</x:v>
      </x:c>
      <x:c r="G11" s="14">
        <x:v>828</x:v>
      </x:c>
      <x:c r="H11" s="22">
        <x:f>G11/C11</x:f>
        <x:v>0.22139037433155082</x:v>
      </x:c>
      <x:c r="I11" s="14">
        <x:v>206</x:v>
      </x:c>
      <x:c r="J11" s="22">
        <x:f>I11/C11</x:f>
        <x:v>0.05508021390374331</x:v>
      </x:c>
    </x:row>
    <x:row r="12" ht="25" customHeight="1">
      <x:c r="A12" s="15" t="inlineStr">
        <x:is>
          <x:t xml:space="preserve">AfD</x:t>
        </x:is>
      </x:c>
      <x:c r="B12" s="16">
        <x:v>245158</x:v>
      </x:c>
      <x:c r="C12" s="16">
        <x:v>3349</x:v>
      </x:c>
      <x:c r="D12" s="25">
        <x:f>C12/B12</x:f>
        <x:v>0.013660578076179444</x:v>
      </x:c>
      <x:c r="E12" s="16">
        <x:v>611</x:v>
      </x:c>
      <x:c r="F12" s="25">
        <x:f>E12/C12</x:f>
        <x:v>0.18244252015527024</x:v>
      </x:c>
      <x:c r="G12" s="16">
        <x:v>951</x:v>
      </x:c>
      <x:c r="H12" s="25">
        <x:f>G12/C12</x:f>
        <x:v>0.2839653627948641</x:v>
      </x:c>
      <x:c r="I12" s="16">
        <x:v>161</x:v>
      </x:c>
      <x:c r="J12" s="25">
        <x:f>I12/C12</x:f>
        <x:v>0.0480740519558077</x:v>
      </x:c>
    </x:row>
    <x:row r="13" ht="25" customHeight="1">
      <x:c r="A13" s="13" t="inlineStr">
        <x:is>
          <x:t xml:space="preserve">FDP</x:t>
        </x:is>
      </x:c>
      <x:c r="B13" s="14">
        <x:v>210805</x:v>
      </x:c>
      <x:c r="C13" s="14">
        <x:v>2272</x:v>
      </x:c>
      <x:c r="D13" s="22">
        <x:f>C13/B13</x:f>
        <x:v>0.010777732975973056</x:v>
      </x:c>
      <x:c r="E13" s="14">
        <x:v>586</x:v>
      </x:c>
      <x:c r="F13" s="22">
        <x:f>E13/C13</x:f>
        <x:v>0.2579225352112676</x:v>
      </x:c>
      <x:c r="G13" s="14">
        <x:v>554</x:v>
      </x:c>
      <x:c r="H13" s="22">
        <x:f>G13/C13</x:f>
        <x:v>0.2438380281690141</x:v>
      </x:c>
      <x:c r="I13" s="14">
        <x:v>93</x:v>
      </x:c>
      <x:c r="J13" s="22">
        <x:f>I13/C13</x:f>
        <x:v>0.0409330985915493</x:v>
      </x:c>
    </x:row>
    <x:row r="14" ht="25" customHeight="1">
      <x:c r="A14" s="15" t="inlineStr">
        <x:is>
          <x:t xml:space="preserve">Die Linke</x:t>
        </x:is>
      </x:c>
      <x:c r="B14" s="16">
        <x:v>162727</x:v>
      </x:c>
      <x:c r="C14" s="16">
        <x:v>2248</x:v>
      </x:c>
      <x:c r="D14" s="25">
        <x:f>C14/B14</x:f>
        <x:v>0.013814548292539038</x:v>
      </x:c>
      <x:c r="E14" s="16">
        <x:v>573</x:v>
      </x:c>
      <x:c r="F14" s="25">
        <x:f>E14/C14</x:f>
        <x:v>0.2548932384341637</x:v>
      </x:c>
      <x:c r="G14" s="16">
        <x:v>725</x:v>
      </x:c>
      <x:c r="H14" s="25">
        <x:f>G14/C14</x:f>
        <x:v>0.322508896797153</x:v>
      </x:c>
      <x:c r="I14" s="16">
        <x:v>82</x:v>
      </x:c>
      <x:c r="J14" s="25">
        <x:f>I14/C14</x:f>
        <x:v>0.036476868327402136</x:v>
      </x:c>
    </x:row>
    <x:row r="15" ht="25" customHeight="1">
      <x:c r="A15" s="13" t="inlineStr">
        <x:is>
          <x:t xml:space="preserve">BSW</x:t>
        </x:is>
      </x:c>
      <x:c r="B15" s="14">
        <x:v>3270</x:v>
      </x:c>
      <x:c r="C15" s="14">
        <x:v>34</x:v>
      </x:c>
      <x:c r="D15" s="22">
        <x:f>C15/B15</x:f>
        <x:v>0.010397553516819572</x:v>
      </x:c>
      <x:c r="E15" s="14">
        <x:v>3</x:v>
      </x:c>
      <x:c r="F15" s="22">
        <x:f>E15/C15</x:f>
        <x:v>0.08823529411764706</x:v>
      </x:c>
      <x:c r="G15" s="14">
        <x:v>16</x:v>
      </x:c>
      <x:c r="H15" s="22">
        <x:f>G15/C15</x:f>
        <x:v>0.47058823529411764</x:v>
      </x:c>
      <x:c r="I15" s="14">
        <x:v>0</x:v>
      </x:c>
      <x:c r="J15" s="22">
        <x:f>I15/C15</x:f>
        <x:v>0.0</x:v>
      </x:c>
    </x:row>
    <x:row r="16" ht="25" customHeight="1">
      <x:c r="A16" s="34" t="inlineStr">
        <x:is>
          <x:t xml:space="preserve">fraktionslos</x:t>
        </x:is>
      </x:c>
      <x:c r="B16" s="35">
        <x:v>14700</x:v>
      </x:c>
      <x:c r="C16" s="35">
        <x:v>151</x:v>
      </x:c>
      <x:c r="D16" s="36">
        <x:f>C16/B16</x:f>
        <x:v>0.010272108843537416</x:v>
      </x:c>
      <x:c r="E16" s="35">
        <x:v>34</x:v>
      </x:c>
      <x:c r="F16" s="36">
        <x:f>E16/C16</x:f>
        <x:v>0.2251655629139073</x:v>
      </x:c>
      <x:c r="G16" s="35">
        <x:v>44</x:v>
      </x:c>
      <x:c r="H16" s="36">
        <x:f>G16/C16</x:f>
        <x:v>0.2913907284768212</x:v>
      </x:c>
      <x:c r="I16" s="35">
        <x:v>5</x:v>
      </x:c>
      <x:c r="J16" s="36">
        <x:f>I16/C16</x:f>
        <x:v>0.033112582781456956</x:v>
      </x:c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 ht="26" customHeight="1">
      <x:c r="A19" s="10" t="inlineStr">
        <x:is>
          <x:t xml:space="preserve">Politikfeldanteile</x:t>
        </x:is>
      </x:c>
      <x:c r="B19" s="1"/>
      <x:c r="C19" s="1"/>
      <x:c r="D19" s="1"/>
      <x:c r="E19" s="1"/>
      <x:c r="F19" s="1"/>
      <x:c r="G19" s="1"/>
      <x:c r="H19" s="1"/>
      <x:c r="I19" s="1"/>
      <x:c r="J19" s="1"/>
    </x:row>
    <x:row r="20" ht="54" customHeight="1">
      <x:c r="A20" s="11" t="inlineStr">
        <x:is>
          <x:t xml:space="preserve">Fraktion</x:t>
        </x:is>
      </x:c>
      <x:c r="B20" s="20" t="n">
        <x:v>2018</x:v>
      </x:c>
      <x:c r="C20" s="20" t="n">
        <x:v>2019</x:v>
      </x:c>
      <x:c r="D20" s="20" t="n">
        <x:v>2020</x:v>
      </x:c>
      <x:c r="E20" s="20" t="n">
        <x:v>2021</x:v>
      </x:c>
      <x:c r="F20" s="20" t="n">
        <x:v>2022</x:v>
      </x:c>
      <x:c r="G20" s="20" t="n">
        <x:v>2023</x:v>
      </x:c>
      <x:c r="H20" s="20" t="n">
        <x:v>2024</x:v>
      </x:c>
      <x:c r="I20" s="20" t="n">
        <x:v>2025</x:v>
      </x:c>
      <x:c r="J20" s="12" t="inlineStr">
        <x:is>
          <x:t xml:space="preserve">2018–2025</x:t>
        </x:is>
      </x:c>
    </x:row>
    <x:row r="21" ht="22" customHeight="1">
      <x:c r="A21" s="13" t="inlineStr">
        <x:is>
          <x:t xml:space="preserve">CDU/CSU</x:t>
        </x:is>
      </x:c>
      <x:c r="B21" s="22">
        <x:f>'11_Berechnungsbasis'!D21/'11_Berechnungsbasis'!C21</x:f>
        <x:v>0.013769449978564044</x:v>
      </x:c>
      <x:c r="C21" s="22">
        <x:f>'11_Berechnungsbasis'!D22/'11_Berechnungsbasis'!C22</x:f>
        <x:v>0.011257616146230007</x:v>
      </x:c>
      <x:c r="D21" s="22">
        <x:f>'11_Berechnungsbasis'!D23/'11_Berechnungsbasis'!C23</x:f>
        <x:v>0.015141540487162607</x:v>
      </x:c>
      <x:c r="E21" s="22">
        <x:f>'11_Berechnungsbasis'!D24/'11_Berechnungsbasis'!C24</x:f>
        <x:v>0.01747569462432437</x:v>
      </x:c>
      <x:c r="F21" s="22">
        <x:f>'11_Berechnungsbasis'!D25/'11_Berechnungsbasis'!C25</x:f>
        <x:v>0.014848480362403589</x:v>
      </x:c>
      <x:c r="G21" s="22">
        <x:f>'11_Berechnungsbasis'!D26/'11_Berechnungsbasis'!C26</x:f>
        <x:v>0.011782733534671288</x:v>
      </x:c>
      <x:c r="H21" s="22">
        <x:f>'11_Berechnungsbasis'!D27/'11_Berechnungsbasis'!C27</x:f>
        <x:v>0.017820911673204383</x:v>
      </x:c>
      <x:c r="I21" s="22">
        <x:f>'11_Berechnungsbasis'!D28/'11_Berechnungsbasis'!C28</x:f>
        <x:v>0.011778637404278834</x:v>
      </x:c>
      <x:c r="J21" s="22">
        <x:f>'02_Fraktion_Jahr'!D9</x:f>
        <x:v>0.014070912976924916</x:v>
      </x:c>
    </x:row>
    <x:row r="22" ht="22" customHeight="1">
      <x:c r="A22" s="15" t="inlineStr">
        <x:is>
          <x:t xml:space="preserve">SPD</x:t>
        </x:is>
      </x:c>
      <x:c r="B22" s="25">
        <x:f>'11_Berechnungsbasis'!D29/'11_Berechnungsbasis'!C29</x:f>
        <x:v>0.014144217790536302</x:v>
      </x:c>
      <x:c r="C22" s="25">
        <x:f>'11_Berechnungsbasis'!D30/'11_Berechnungsbasis'!C30</x:f>
        <x:v>0.009746828761941625</x:v>
      </x:c>
      <x:c r="D22" s="25">
        <x:f>'11_Berechnungsbasis'!D31/'11_Berechnungsbasis'!C31</x:f>
        <x:v>0.010079058788264829</x:v>
      </x:c>
      <x:c r="E22" s="25">
        <x:f>'11_Berechnungsbasis'!D32/'11_Berechnungsbasis'!C32</x:f>
        <x:v>0.009990060908789724</x:v>
      </x:c>
      <x:c r="F22" s="25">
        <x:f>'11_Berechnungsbasis'!D33/'11_Berechnungsbasis'!C33</x:f>
        <x:v>0.013533959828431032</x:v>
      </x:c>
      <x:c r="G22" s="25">
        <x:f>'11_Berechnungsbasis'!D34/'11_Berechnungsbasis'!C34</x:f>
        <x:v>0.012091658737710117</x:v>
      </x:c>
      <x:c r="H22" s="25">
        <x:f>'11_Berechnungsbasis'!D35/'11_Berechnungsbasis'!C35</x:f>
        <x:v>0.015394893111638955</x:v>
      </x:c>
      <x:c r="I22" s="25">
        <x:f>'11_Berechnungsbasis'!D36/'11_Berechnungsbasis'!C36</x:f>
        <x:v>0.009574170704435333</x:v>
      </x:c>
      <x:c r="J22" s="25">
        <x:f>'02_Fraktion_Jahr'!D10</x:f>
        <x:v>0.012098474540166675</x:v>
      </x:c>
    </x:row>
    <x:row r="23" ht="22" customHeight="1">
      <x:c r="A23" s="13" t="inlineStr">
        <x:is>
          <x:t xml:space="preserve">Grüne</x:t>
        </x:is>
      </x:c>
      <x:c r="B23" s="22">
        <x:f>'11_Berechnungsbasis'!D37/'11_Berechnungsbasis'!C37</x:f>
        <x:v>0.012152052557627312</x:v>
      </x:c>
      <x:c r="C23" s="22">
        <x:f>'11_Berechnungsbasis'!D38/'11_Berechnungsbasis'!C38</x:f>
        <x:v>0.011970165544842641</x:v>
      </x:c>
      <x:c r="D23" s="22">
        <x:f>'11_Berechnungsbasis'!D39/'11_Berechnungsbasis'!C39</x:f>
        <x:v>0.012887101183270199</x:v>
      </x:c>
      <x:c r="E23" s="22">
        <x:f>'11_Berechnungsbasis'!D40/'11_Berechnungsbasis'!C40</x:f>
        <x:v>0.01393540023765799</x:v>
      </x:c>
      <x:c r="F23" s="22">
        <x:f>'11_Berechnungsbasis'!D41/'11_Berechnungsbasis'!C41</x:f>
        <x:v>0.017708525984834474</x:v>
      </x:c>
      <x:c r="G23" s="22">
        <x:f>'11_Berechnungsbasis'!D42/'11_Berechnungsbasis'!C42</x:f>
        <x:v>0.014995589532490444</x:v>
      </x:c>
      <x:c r="H23" s="22">
        <x:f>'11_Berechnungsbasis'!D43/'11_Berechnungsbasis'!C43</x:f>
        <x:v>0.017582633465939787</x:v>
      </x:c>
      <x:c r="I23" s="22">
        <x:f>'11_Berechnungsbasis'!D44/'11_Berechnungsbasis'!C44</x:f>
        <x:v>0.012425378314591142</x:v>
      </x:c>
      <x:c r="J23" s="22">
        <x:f>'02_Fraktion_Jahr'!D11</x:f>
        <x:v>0.014670003373316283</x:v>
      </x:c>
    </x:row>
    <x:row r="24" ht="22" customHeight="1">
      <x:c r="A24" s="15" t="inlineStr">
        <x:is>
          <x:t xml:space="preserve">AfD</x:t>
        </x:is>
      </x:c>
      <x:c r="B24" s="25">
        <x:f>'11_Berechnungsbasis'!D45/'11_Berechnungsbasis'!C45</x:f>
        <x:v>0.012061902594446974</x:v>
      </x:c>
      <x:c r="C24" s="25">
        <x:f>'11_Berechnungsbasis'!D46/'11_Berechnungsbasis'!C46</x:f>
        <x:v>0.010246205933889698</x:v>
      </x:c>
      <x:c r="D24" s="25">
        <x:f>'11_Berechnungsbasis'!D47/'11_Berechnungsbasis'!C47</x:f>
        <x:v>0.013220205209155485</x:v>
      </x:c>
      <x:c r="E24" s="25">
        <x:f>'11_Berechnungsbasis'!D48/'11_Berechnungsbasis'!C48</x:f>
        <x:v>0.012782235491696213</x:v>
      </x:c>
      <x:c r="F24" s="25">
        <x:f>'11_Berechnungsbasis'!D49/'11_Berechnungsbasis'!C49</x:f>
        <x:v>0.017399611067517314</x:v>
      </x:c>
      <x:c r="G24" s="25">
        <x:f>'11_Berechnungsbasis'!D50/'11_Berechnungsbasis'!C50</x:f>
        <x:v>0.013915481400437637</x:v>
      </x:c>
      <x:c r="H24" s="25">
        <x:f>'11_Berechnungsbasis'!D51/'11_Berechnungsbasis'!C51</x:f>
        <x:v>0.02042076819146883</x:v>
      </x:c>
      <x:c r="I24" s="25">
        <x:f>'11_Berechnungsbasis'!D52/'11_Berechnungsbasis'!C52</x:f>
        <x:v>0.01150356813218973</x:v>
      </x:c>
      <x:c r="J24" s="25">
        <x:f>'02_Fraktion_Jahr'!D12</x:f>
        <x:v>0.013660578076179444</x:v>
      </x:c>
    </x:row>
    <x:row r="25" ht="22" customHeight="1">
      <x:c r="A25" s="13" t="inlineStr">
        <x:is>
          <x:t xml:space="preserve">FDP</x:t>
        </x:is>
      </x:c>
      <x:c r="B25" s="22">
        <x:f>'11_Berechnungsbasis'!D53/'11_Berechnungsbasis'!C53</x:f>
        <x:v>0.013312716850203651</x:v>
      </x:c>
      <x:c r="C25" s="22">
        <x:f>'11_Berechnungsbasis'!D54/'11_Berechnungsbasis'!C54</x:f>
        <x:v>0.01011815835936439</x:v>
      </x:c>
      <x:c r="D25" s="22">
        <x:f>'11_Berechnungsbasis'!D55/'11_Berechnungsbasis'!C55</x:f>
        <x:v>0.011134231372978498</x:v>
      </x:c>
      <x:c r="E25" s="22">
        <x:f>'11_Berechnungsbasis'!D56/'11_Berechnungsbasis'!C56</x:f>
        <x:v>0.009170174383644017</x:v>
      </x:c>
      <x:c r="F25" s="22">
        <x:f>'11_Berechnungsbasis'!D57/'11_Berechnungsbasis'!C57</x:f>
        <x:v>0.010608441850022451</x:v>
      </x:c>
      <x:c r="G25" s="22">
        <x:f>'11_Berechnungsbasis'!D58/'11_Berechnungsbasis'!C58</x:f>
        <x:v>0.008546078057808503</x:v>
      </x:c>
      <x:c r="H25" s="22">
        <x:f>'11_Berechnungsbasis'!D59/'11_Berechnungsbasis'!C59</x:f>
        <x:v>0.013439705431113839</x:v>
      </x:c>
      <x:c r="I25" s="22">
        <x:f>'11_Berechnungsbasis'!D60/'11_Berechnungsbasis'!C60</x:f>
        <x:v>0.0011885895404120444</x:v>
      </x:c>
      <x:c r="J25" s="22">
        <x:f>'02_Fraktion_Jahr'!D13</x:f>
        <x:v>0.010777732975973056</x:v>
      </x:c>
    </x:row>
    <x:row r="26" ht="22" customHeight="1">
      <x:c r="A26" s="15" t="inlineStr">
        <x:is>
          <x:t xml:space="preserve">Die Linke</x:t>
        </x:is>
      </x:c>
      <x:c r="B26" s="25">
        <x:f>'11_Berechnungsbasis'!D61/'11_Berechnungsbasis'!C61</x:f>
        <x:v>0.014316334371334978</x:v>
      </x:c>
      <x:c r="C26" s="25">
        <x:f>'11_Berechnungsbasis'!D62/'11_Berechnungsbasis'!C62</x:f>
        <x:v>0.012085164418851341</x:v>
      </x:c>
      <x:c r="D26" s="25">
        <x:f>'11_Berechnungsbasis'!D63/'11_Berechnungsbasis'!C63</x:f>
        <x:v>0.012837179070523237</x:v>
      </x:c>
      <x:c r="E26" s="25">
        <x:f>'11_Berechnungsbasis'!D64/'11_Berechnungsbasis'!C64</x:f>
        <x:v>0.01128398016755001</x:v>
      </x:c>
      <x:c r="F26" s="25">
        <x:f>'11_Berechnungsbasis'!D65/'11_Berechnungsbasis'!C65</x:f>
        <x:v>0.01864558472553699</x:v>
      </x:c>
      <x:c r="G26" s="25">
        <x:f>'11_Berechnungsbasis'!D66/'11_Berechnungsbasis'!C66</x:f>
        <x:v>0.015632137237984064</x:v>
      </x:c>
      <x:c r="H26" s="25">
        <x:f>'11_Berechnungsbasis'!D67/'11_Berechnungsbasis'!C67</x:f>
        <x:v>0.014783290402060702</x:v>
      </x:c>
      <x:c r="I26" s="25">
        <x:f>'11_Berechnungsbasis'!D68/'11_Berechnungsbasis'!C68</x:f>
        <x:v>0.011885780547905494</x:v>
      </x:c>
      <x:c r="J26" s="25">
        <x:f>'02_Fraktion_Jahr'!D14</x:f>
        <x:v>0.013814548292539038</x:v>
      </x:c>
    </x:row>
    <x:row r="27" ht="22" customHeight="1">
      <x:c r="A27" s="38" t="inlineStr">
        <x:is>
          <x:t xml:space="preserve">Sechs Fraktionen gesamt</x:t>
        </x:is>
      </x:c>
      <x:c r="B27" s="29">
        <x:f>SUM('11_Berechnungsbasis'!D21,'11_Berechnungsbasis'!D29,'11_Berechnungsbasis'!D37,'11_Berechnungsbasis'!D45,'11_Berechnungsbasis'!D53,'11_Berechnungsbasis'!D61)/SUM('11_Berechnungsbasis'!C21,'11_Berechnungsbasis'!C29,'11_Berechnungsbasis'!C37,'11_Berechnungsbasis'!C45,'11_Berechnungsbasis'!C53,'11_Berechnungsbasis'!C61)</x:f>
        <x:v>0.01346148242806182</x:v>
      </x:c>
      <x:c r="C27" s="29">
        <x:f>SUM('11_Berechnungsbasis'!D22,'11_Berechnungsbasis'!D30,'11_Berechnungsbasis'!D38,'11_Berechnungsbasis'!D46,'11_Berechnungsbasis'!D54,'11_Berechnungsbasis'!D62)/SUM('11_Berechnungsbasis'!C22,'11_Berechnungsbasis'!C30,'11_Berechnungsbasis'!C38,'11_Berechnungsbasis'!C46,'11_Berechnungsbasis'!C54,'11_Berechnungsbasis'!C62)</x:f>
        <x:v>0.010823073194377121</x:v>
      </x:c>
      <x:c r="D27" s="29">
        <x:f>SUM('11_Berechnungsbasis'!D23,'11_Berechnungsbasis'!D31,'11_Berechnungsbasis'!D39,'11_Berechnungsbasis'!D47,'11_Berechnungsbasis'!D55,'11_Berechnungsbasis'!D63)/SUM('11_Berechnungsbasis'!C23,'11_Berechnungsbasis'!C31,'11_Berechnungsbasis'!C39,'11_Berechnungsbasis'!C47,'11_Berechnungsbasis'!C55,'11_Berechnungsbasis'!C63)</x:f>
        <x:v>0.012870335376374123</x:v>
      </x:c>
      <x:c r="E27" s="29">
        <x:f>SUM('11_Berechnungsbasis'!D24,'11_Berechnungsbasis'!D32,'11_Berechnungsbasis'!D40,'11_Berechnungsbasis'!D48,'11_Berechnungsbasis'!D56,'11_Berechnungsbasis'!D64)/SUM('11_Berechnungsbasis'!C24,'11_Berechnungsbasis'!C32,'11_Berechnungsbasis'!C40,'11_Berechnungsbasis'!C48,'11_Berechnungsbasis'!C56,'11_Berechnungsbasis'!C64)</x:f>
        <x:v>0.013270256184099747</x:v>
      </x:c>
      <x:c r="F27" s="29">
        <x:f>SUM('11_Berechnungsbasis'!D25,'11_Berechnungsbasis'!D33,'11_Berechnungsbasis'!D41,'11_Berechnungsbasis'!D49,'11_Berechnungsbasis'!D57,'11_Berechnungsbasis'!D65)/SUM('11_Berechnungsbasis'!C25,'11_Berechnungsbasis'!C33,'11_Berechnungsbasis'!C41,'11_Berechnungsbasis'!C49,'11_Berechnungsbasis'!C57,'11_Berechnungsbasis'!C65)</x:f>
        <x:v>0.014957017704301216</x:v>
      </x:c>
      <x:c r="G27" s="29">
        <x:f>SUM('11_Berechnungsbasis'!D26,'11_Berechnungsbasis'!D34,'11_Berechnungsbasis'!D42,'11_Berechnungsbasis'!D50,'11_Berechnungsbasis'!D58,'11_Berechnungsbasis'!D66)/SUM('11_Berechnungsbasis'!C26,'11_Berechnungsbasis'!C34,'11_Berechnungsbasis'!C42,'11_Berechnungsbasis'!C50,'11_Berechnungsbasis'!C58,'11_Berechnungsbasis'!C66)</x:f>
        <x:v>0.012459905790062134</x:v>
      </x:c>
      <x:c r="H27" s="29">
        <x:f>SUM('11_Berechnungsbasis'!D27,'11_Berechnungsbasis'!D35,'11_Berechnungsbasis'!D43,'11_Berechnungsbasis'!D51,'11_Berechnungsbasis'!D59,'11_Berechnungsbasis'!D67)/SUM('11_Berechnungsbasis'!C27,'11_Berechnungsbasis'!C35,'11_Berechnungsbasis'!C43,'11_Berechnungsbasis'!C51,'11_Berechnungsbasis'!C59,'11_Berechnungsbasis'!C67)</x:f>
        <x:v>0.016646068612827615</x:v>
      </x:c>
      <x:c r="I27" s="29">
        <x:f>SUM('11_Berechnungsbasis'!D28,'11_Berechnungsbasis'!D36,'11_Berechnungsbasis'!D44,'11_Berechnungsbasis'!D52,'11_Berechnungsbasis'!D60,'11_Berechnungsbasis'!D68)/SUM('11_Berechnungsbasis'!C28,'11_Berechnungsbasis'!C36,'11_Berechnungsbasis'!C44,'11_Berechnungsbasis'!C52,'11_Berechnungsbasis'!C60,'11_Berechnungsbasis'!C68)</x:f>
        <x:v>0.011222541770053818</x:v>
      </x:c>
      <x:c r="J27" s="29">
        <x:f>SUM('02_Fraktion_Jahr'!C9:C14)/SUM('02_Fraktion_Jahr'!B9:B14)</x:f>
        <x:v>0.013230859546575666</x:v>
      </x:c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6" customHeight="1">
      <x:c r="A30" s="10" t="inlineStr">
        <x:is>
          <x:t xml:space="preserve">Ökologie innerhalb von A&amp;E</x:t>
        </x:is>
      </x:c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54" customHeight="1">
      <x:c r="A31" s="11" t="inlineStr">
        <x:is>
          <x:t xml:space="preserve">Fraktion</x:t>
        </x:is>
      </x:c>
      <x:c r="B31" s="20" t="n">
        <x:v>2018</x:v>
      </x:c>
      <x:c r="C31" s="20" t="n">
        <x:v>2019</x:v>
      </x:c>
      <x:c r="D31" s="20" t="n">
        <x:v>2020</x:v>
      </x:c>
      <x:c r="E31" s="20" t="n">
        <x:v>2021</x:v>
      </x:c>
      <x:c r="F31" s="20" t="n">
        <x:v>2022</x:v>
      </x:c>
      <x:c r="G31" s="20" t="n">
        <x:v>2023</x:v>
      </x:c>
      <x:c r="H31" s="20" t="n">
        <x:v>2024</x:v>
      </x:c>
      <x:c r="I31" s="20" t="n">
        <x:v>2025</x:v>
      </x:c>
      <x:c r="J31" s="12" t="inlineStr">
        <x:is>
          <x:t xml:space="preserve">2018–2025</x:t>
        </x:is>
      </x:c>
    </x:row>
    <x:row r="32" ht="22" customHeight="1">
      <x:c r="A32" s="13" t="inlineStr">
        <x:is>
          <x:t xml:space="preserve">CDU/CSU</x:t>
        </x:is>
      </x:c>
      <x:c r="B32" s="22">
        <x:f>'11_Berechnungsbasis'!E21/'11_Berechnungsbasis'!D21</x:f>
        <x:v>0.2490842490842491</x:v>
      </x:c>
      <x:c r="C32" s="22">
        <x:f>'11_Berechnungsbasis'!E22/'11_Berechnungsbasis'!D22</x:f>
        <x:v>0.28752642706131076</x:v>
      </x:c>
      <x:c r="D32" s="22">
        <x:f>'11_Berechnungsbasis'!E23/'11_Berechnungsbasis'!D23</x:f>
        <x:v>0.22302737520128824</x:v>
      </x:c>
      <x:c r="E32" s="22">
        <x:f>'11_Berechnungsbasis'!E24/'11_Berechnungsbasis'!D24</x:f>
        <x:v>0.3814229249011858</x:v>
      </x:c>
      <x:c r="F32" s="22">
        <x:f>'11_Berechnungsbasis'!E25/'11_Berechnungsbasis'!D25</x:f>
        <x:v>0.22033898305084745</x:v>
      </x:c>
      <x:c r="G32" s="22">
        <x:f>'11_Berechnungsbasis'!E26/'11_Berechnungsbasis'!D26</x:f>
        <x:v>0.23484848484848486</x:v>
      </x:c>
      <x:c r="H32" s="22">
        <x:f>'11_Berechnungsbasis'!E27/'11_Berechnungsbasis'!D27</x:f>
        <x:v>0.15180265654648956</x:v>
      </x:c>
      <x:c r="I32" s="22">
        <x:f>'11_Berechnungsbasis'!E28/'11_Berechnungsbasis'!D28</x:f>
        <x:v>0.20241286863270777</x:v>
      </x:c>
      <x:c r="J32" s="22">
        <x:f>'02_Fraktion_Jahr'!F9</x:f>
        <x:v>0.24407252440725244</x:v>
      </x:c>
    </x:row>
    <x:row r="33" ht="22" customHeight="1">
      <x:c r="A33" s="15" t="inlineStr">
        <x:is>
          <x:t xml:space="preserve">SPD</x:t>
        </x:is>
      </x:c>
      <x:c r="B33" s="25">
        <x:f>'11_Berechnungsbasis'!E29/'11_Berechnungsbasis'!D29</x:f>
        <x:v>0.3588709677419355</x:v>
      </x:c>
      <x:c r="C33" s="25">
        <x:f>'11_Berechnungsbasis'!E30/'11_Berechnungsbasis'!D30</x:f>
        <x:v>0.34296028880866425</x:v>
      </x:c>
      <x:c r="D33" s="25">
        <x:f>'11_Berechnungsbasis'!E31/'11_Berechnungsbasis'!D31</x:f>
        <x:v>0.1895910780669145</x:v>
      </x:c>
      <x:c r="E33" s="25">
        <x:f>'11_Berechnungsbasis'!E32/'11_Berechnungsbasis'!D32</x:f>
        <x:v>0.35459183673469385</x:v>
      </x:c>
      <x:c r="F33" s="25">
        <x:f>'11_Berechnungsbasis'!E33/'11_Berechnungsbasis'!D33</x:f>
        <x:v>0.24717948717948718</x:v>
      </x:c>
      <x:c r="G33" s="25">
        <x:f>'11_Berechnungsbasis'!E34/'11_Berechnungsbasis'!D34</x:f>
        <x:v>0.307103825136612</x:v>
      </x:c>
      <x:c r="H33" s="25">
        <x:f>'11_Berechnungsbasis'!E35/'11_Berechnungsbasis'!D35</x:f>
        <x:v>0.20250723240115717</x:v>
      </x:c>
      <x:c r="I33" s="25">
        <x:f>'11_Berechnungsbasis'!E36/'11_Berechnungsbasis'!D36</x:f>
        <x:v>0.31873479318734793</x:v>
      </x:c>
      <x:c r="J33" s="25">
        <x:f>'02_Fraktion_Jahr'!F10</x:f>
        <x:v>0.28045274883219545</x:v>
      </x:c>
    </x:row>
    <x:row r="34" ht="22" customHeight="1">
      <x:c r="A34" s="13" t="inlineStr">
        <x:is>
          <x:t xml:space="preserve">Grüne</x:t>
        </x:is>
      </x:c>
      <x:c r="B34" s="22">
        <x:f>'11_Berechnungsbasis'!E37/'11_Berechnungsbasis'!D37</x:f>
        <x:v>0.38125</x:v>
      </x:c>
      <x:c r="C34" s="22">
        <x:f>'11_Berechnungsbasis'!E38/'11_Berechnungsbasis'!D38</x:f>
        <x:v>0.3586626139817629</x:v>
      </x:c>
      <x:c r="D34" s="22">
        <x:f>'11_Berechnungsbasis'!E39/'11_Berechnungsbasis'!D39</x:f>
        <x:v>0.33636363636363636</x:v>
      </x:c>
      <x:c r="E34" s="22">
        <x:f>'11_Berechnungsbasis'!E40/'11_Berechnungsbasis'!D40</x:f>
        <x:v>0.3682170542635659</x:v>
      </x:c>
      <x:c r="F34" s="22">
        <x:f>'11_Berechnungsbasis'!E41/'11_Berechnungsbasis'!D41</x:f>
        <x:v>0.31592689295039167</x:v>
      </x:c>
      <x:c r="G34" s="22">
        <x:f>'11_Berechnungsbasis'!E42/'11_Berechnungsbasis'!D42</x:f>
        <x:v>0.31975867269984914</x:v>
      </x:c>
      <x:c r="H34" s="22">
        <x:f>'11_Berechnungsbasis'!E43/'11_Berechnungsbasis'!D43</x:f>
        <x:v>0.24162011173184358</x:v>
      </x:c>
      <x:c r="I34" s="22">
        <x:f>'11_Berechnungsbasis'!E44/'11_Berechnungsbasis'!D44</x:f>
        <x:v>0.32122905027932963</x:v>
      </x:c>
      <x:c r="J34" s="22">
        <x:f>'02_Fraktion_Jahr'!F11</x:f>
        <x:v>0.3176470588235294</x:v>
      </x:c>
    </x:row>
    <x:row r="35" ht="22" customHeight="1">
      <x:c r="A35" s="15" t="inlineStr">
        <x:is>
          <x:t xml:space="preserve">AfD</x:t>
        </x:is>
      </x:c>
      <x:c r="B35" s="25">
        <x:f>'11_Berechnungsbasis'!E45/'11_Berechnungsbasis'!D45</x:f>
        <x:v>0.29380053908355797</x:v>
      </x:c>
      <x:c r="C35" s="25">
        <x:f>'11_Berechnungsbasis'!E46/'11_Berechnungsbasis'!D46</x:f>
        <x:v>0.24057971014492754</x:v>
      </x:c>
      <x:c r="D35" s="25">
        <x:f>'11_Berechnungsbasis'!E47/'11_Berechnungsbasis'!D47</x:f>
        <x:v>0.21393034825870647</x:v>
      </x:c>
      <x:c r="E35" s="25">
        <x:f>'11_Berechnungsbasis'!E48/'11_Berechnungsbasis'!D48</x:f>
        <x:v>0.20437956204379562</x:v>
      </x:c>
      <x:c r="F35" s="25">
        <x:f>'11_Berechnungsbasis'!E49/'11_Berechnungsbasis'!D49</x:f>
        <x:v>0.13137254901960785</x:v>
      </x:c>
      <x:c r="G35" s="25">
        <x:f>'11_Berechnungsbasis'!E50/'11_Berechnungsbasis'!D50</x:f>
        <x:v>0.1769041769041769</x:v>
      </x:c>
      <x:c r="H35" s="25">
        <x:f>'11_Berechnungsbasis'!E51/'11_Berechnungsbasis'!D51</x:f>
        <x:v>0.0945179584120983</x:v>
      </x:c>
      <x:c r="I35" s="25">
        <x:f>'11_Berechnungsbasis'!E52/'11_Berechnungsbasis'!D52</x:f>
        <x:v>0.17221135029354206</x:v>
      </x:c>
      <x:c r="J35" s="25">
        <x:f>'02_Fraktion_Jahr'!F12</x:f>
        <x:v>0.18244252015527024</x:v>
      </x:c>
    </x:row>
    <x:row r="36" ht="22" customHeight="1">
      <x:c r="A36" s="13" t="inlineStr">
        <x:is>
          <x:t xml:space="preserve">FDP</x:t>
        </x:is>
      </x:c>
      <x:c r="B36" s="22">
        <x:f>'11_Berechnungsbasis'!E53/'11_Berechnungsbasis'!D53</x:f>
        <x:v>0.32294617563739375</x:v>
      </x:c>
      <x:c r="C36" s="22">
        <x:f>'11_Berechnungsbasis'!E54/'11_Berechnungsbasis'!D54</x:f>
        <x:v>0.2986577181208054</x:v>
      </x:c>
      <x:c r="D36" s="22">
        <x:f>'11_Berechnungsbasis'!E55/'11_Berechnungsbasis'!D55</x:f>
        <x:v>0.25573770491803277</x:v>
      </x:c>
      <x:c r="E36" s="22">
        <x:f>'11_Berechnungsbasis'!E56/'11_Berechnungsbasis'!D56</x:f>
        <x:v>0.2896174863387978</x:v>
      </x:c>
      <x:c r="F36" s="22">
        <x:f>'11_Berechnungsbasis'!E57/'11_Berechnungsbasis'!D57</x:f>
        <x:v>0.23015873015873015</x:v>
      </x:c>
      <x:c r="G36" s="22">
        <x:f>'11_Berechnungsbasis'!E58/'11_Berechnungsbasis'!D58</x:f>
        <x:v>0.31528662420382164</x:v>
      </x:c>
      <x:c r="H36" s="22">
        <x:f>'11_Berechnungsbasis'!E59/'11_Berechnungsbasis'!D59</x:f>
        <x:v>0.1506849315068493</x:v>
      </x:c>
      <x:c r="I36" s="22" t="inlineStr">
        <x:is>
          <x:t xml:space="preserve">n.a.¹</x:t>
        </x:is>
      </x:c>
      <x:c r="J36" s="22">
        <x:f>'02_Fraktion_Jahr'!F13</x:f>
        <x:v>0.2579225352112676</x:v>
      </x:c>
    </x:row>
    <x:row r="37" ht="22" customHeight="1">
      <x:c r="A37" s="15" t="inlineStr">
        <x:is>
          <x:t xml:space="preserve">Die Linke</x:t>
        </x:is>
      </x:c>
      <x:c r="B37" s="25">
        <x:f>'11_Berechnungsbasis'!E61/'11_Berechnungsbasis'!D61</x:f>
        <x:v>0.2853107344632768</x:v>
      </x:c>
      <x:c r="C37" s="25">
        <x:f>'11_Berechnungsbasis'!E62/'11_Berechnungsbasis'!D62</x:f>
        <x:v>0.2946708463949843</x:v>
      </x:c>
      <x:c r="D37" s="25">
        <x:f>'11_Berechnungsbasis'!E63/'11_Berechnungsbasis'!D63</x:f>
        <x:v>0.25316455696202533</x:v>
      </x:c>
      <x:c r="E37" s="25">
        <x:f>'11_Berechnungsbasis'!E64/'11_Berechnungsbasis'!D64</x:f>
        <x:v>0.3484848484848485</x:v>
      </x:c>
      <x:c r="F37" s="25">
        <x:f>'11_Berechnungsbasis'!E65/'11_Berechnungsbasis'!D65</x:f>
        <x:v>0.18933333333333333</x:v>
      </x:c>
      <x:c r="G37" s="25">
        <x:f>'11_Berechnungsbasis'!E66/'11_Berechnungsbasis'!D66</x:f>
        <x:v>0.23376623376623376</x:v>
      </x:c>
      <x:c r="H37" s="25">
        <x:f>'11_Berechnungsbasis'!E67/'11_Berechnungsbasis'!D67</x:f>
        <x:v>0.2196969696969697</x:v>
      </x:c>
      <x:c r="I37" s="25">
        <x:f>'11_Berechnungsbasis'!E68/'11_Berechnungsbasis'!D68</x:f>
        <x:v>0.23170731707317074</x:v>
      </x:c>
      <x:c r="J37" s="25">
        <x:f>'02_Fraktion_Jahr'!F14</x:f>
        <x:v>0.2548932384341637</x:v>
      </x:c>
    </x:row>
    <x:row r="38" ht="22" customHeight="1">
      <x:c r="A38" s="38" t="inlineStr">
        <x:is>
          <x:t xml:space="preserve">Sechs Fraktionen gesamt</x:t>
        </x:is>
      </x:c>
      <x:c r="B38" s="29">
        <x:f>SUM('11_Berechnungsbasis'!E21,'11_Berechnungsbasis'!E29,'11_Berechnungsbasis'!E37,'11_Berechnungsbasis'!E45,'11_Berechnungsbasis'!E53,'11_Berechnungsbasis'!E61)/SUM('11_Berechnungsbasis'!D21,'11_Berechnungsbasis'!D29,'11_Berechnungsbasis'!D37,'11_Berechnungsbasis'!D45,'11_Berechnungsbasis'!D53,'11_Berechnungsbasis'!D61)</x:f>
        <x:v>0.3045763760049474</x:v>
      </x:c>
      <x:c r="C38" s="29">
        <x:f>SUM('11_Berechnungsbasis'!E22,'11_Berechnungsbasis'!E30,'11_Berechnungsbasis'!E38,'11_Berechnungsbasis'!E46,'11_Berechnungsbasis'!E54,'11_Berechnungsbasis'!E62)/SUM('11_Berechnungsbasis'!D22,'11_Berechnungsbasis'!D30,'11_Berechnungsbasis'!D38,'11_Berechnungsbasis'!D46,'11_Berechnungsbasis'!D54,'11_Berechnungsbasis'!D62)</x:f>
        <x:v>0.3031171623074167</x:v>
      </x:c>
      <x:c r="D38" s="29">
        <x:f>SUM('11_Berechnungsbasis'!E23,'11_Berechnungsbasis'!E31,'11_Berechnungsbasis'!E39,'11_Berechnungsbasis'!E47,'11_Berechnungsbasis'!E55,'11_Berechnungsbasis'!E63)/SUM('11_Berechnungsbasis'!D23,'11_Berechnungsbasis'!D31,'11_Berechnungsbasis'!D39,'11_Berechnungsbasis'!D47,'11_Berechnungsbasis'!D55,'11_Berechnungsbasis'!D63)</x:f>
        <x:v>0.23428024257899777</x:v>
      </x:c>
      <x:c r="E38" s="29">
        <x:f>SUM('11_Berechnungsbasis'!E24,'11_Berechnungsbasis'!E32,'11_Berechnungsbasis'!E40,'11_Berechnungsbasis'!E48,'11_Berechnungsbasis'!E56,'11_Berechnungsbasis'!E64)/SUM('11_Berechnungsbasis'!D24,'11_Berechnungsbasis'!D32,'11_Berechnungsbasis'!D40,'11_Berechnungsbasis'!D48,'11_Berechnungsbasis'!D56,'11_Berechnungsbasis'!D64)</x:f>
        <x:v>0.34441087613293053</x:v>
      </x:c>
      <x:c r="F38" s="29">
        <x:f>SUM('11_Berechnungsbasis'!E25,'11_Berechnungsbasis'!E33,'11_Berechnungsbasis'!E41,'11_Berechnungsbasis'!E49,'11_Berechnungsbasis'!E57,'11_Berechnungsbasis'!E65)/SUM('11_Berechnungsbasis'!D25,'11_Berechnungsbasis'!D33,'11_Berechnungsbasis'!D41,'11_Berechnungsbasis'!D49,'11_Berechnungsbasis'!D57,'11_Berechnungsbasis'!D65)</x:f>
        <x:v>0.2318442725230846</x:v>
      </x:c>
      <x:c r="G38" s="29">
        <x:f>SUM('11_Berechnungsbasis'!E26,'11_Berechnungsbasis'!E34,'11_Berechnungsbasis'!E42,'11_Berechnungsbasis'!E50,'11_Berechnungsbasis'!E58,'11_Berechnungsbasis'!E66)/SUM('11_Berechnungsbasis'!D26,'11_Berechnungsbasis'!D34,'11_Berechnungsbasis'!D42,'11_Berechnungsbasis'!D50,'11_Berechnungsbasis'!D58,'11_Berechnungsbasis'!D66)</x:f>
        <x:v>0.2712562518387761</x:v>
      </x:c>
      <x:c r="H38" s="29">
        <x:f>SUM('11_Berechnungsbasis'!E27,'11_Berechnungsbasis'!E35,'11_Berechnungsbasis'!E43,'11_Berechnungsbasis'!E51,'11_Berechnungsbasis'!E59,'11_Berechnungsbasis'!E67)/SUM('11_Berechnungsbasis'!D27,'11_Berechnungsbasis'!D35,'11_Berechnungsbasis'!D43,'11_Berechnungsbasis'!D51,'11_Berechnungsbasis'!D59,'11_Berechnungsbasis'!D67)</x:f>
        <x:v>0.17613927291346645</x:v>
      </x:c>
      <x:c r="I38" s="29">
        <x:f>SUM('11_Berechnungsbasis'!E28,'11_Berechnungsbasis'!E36,'11_Berechnungsbasis'!E44,'11_Berechnungsbasis'!E52,'11_Berechnungsbasis'!E60,'11_Berechnungsbasis'!E68)/SUM('11_Berechnungsbasis'!D28,'11_Berechnungsbasis'!D36,'11_Berechnungsbasis'!D44,'11_Berechnungsbasis'!D52,'11_Berechnungsbasis'!D60,'11_Berechnungsbasis'!D68)</x:f>
        <x:v>0.23824175824175825</x:v>
      </x:c>
      <x:c r="J38" s="29">
        <x:f>SUM('02_Fraktion_Jahr'!E9:E14)/SUM('02_Fraktion_Jahr'!C9:C14)</x:f>
        <x:v>0.25712233660521905</x:v>
      </x:c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 ht="26" customHeight="1">
      <x:c r="A41" s="10" t="inlineStr">
        <x:is>
          <x:t xml:space="preserve">Ökonomie innerhalb von A&amp;E</x:t>
        </x:is>
      </x:c>
      <x:c r="B41" s="1"/>
      <x:c r="C41" s="1"/>
      <x:c r="D41" s="1"/>
      <x:c r="E41" s="1"/>
      <x:c r="F41" s="1"/>
      <x:c r="G41" s="1"/>
      <x:c r="H41" s="1"/>
      <x:c r="I41" s="1"/>
      <x:c r="J41" s="1"/>
    </x:row>
    <x:row r="42" ht="54" customHeight="1">
      <x:c r="A42" s="11" t="inlineStr">
        <x:is>
          <x:t xml:space="preserve">Fraktion</x:t>
        </x:is>
      </x:c>
      <x:c r="B42" s="20" t="n">
        <x:v>2018</x:v>
      </x:c>
      <x:c r="C42" s="20" t="n">
        <x:v>2019</x:v>
      </x:c>
      <x:c r="D42" s="20" t="n">
        <x:v>2020</x:v>
      </x:c>
      <x:c r="E42" s="20" t="n">
        <x:v>2021</x:v>
      </x:c>
      <x:c r="F42" s="20" t="n">
        <x:v>2022</x:v>
      </x:c>
      <x:c r="G42" s="20" t="n">
        <x:v>2023</x:v>
      </x:c>
      <x:c r="H42" s="20" t="n">
        <x:v>2024</x:v>
      </x:c>
      <x:c r="I42" s="20" t="n">
        <x:v>2025</x:v>
      </x:c>
      <x:c r="J42" s="12" t="inlineStr">
        <x:is>
          <x:t xml:space="preserve">2018–2025</x:t>
        </x:is>
      </x:c>
    </x:row>
    <x:row r="43" ht="22" customHeight="1">
      <x:c r="A43" s="13" t="inlineStr">
        <x:is>
          <x:t xml:space="preserve">CDU/CSU</x:t>
        </x:is>
      </x:c>
      <x:c r="B43" s="22">
        <x:f>'11_Berechnungsbasis'!F21/'11_Berechnungsbasis'!D21</x:f>
        <x:v>0.14194139194139194</x:v>
      </x:c>
      <x:c r="C43" s="22">
        <x:f>'11_Berechnungsbasis'!F22/'11_Berechnungsbasis'!D22</x:f>
        <x:v>0.13424947145877378</x:v>
      </x:c>
      <x:c r="D43" s="22">
        <x:f>'11_Berechnungsbasis'!F23/'11_Berechnungsbasis'!D23</x:f>
        <x:v>0.1320450885668277</x:v>
      </x:c>
      <x:c r="E43" s="22">
        <x:f>'11_Berechnungsbasis'!F24/'11_Berechnungsbasis'!D24</x:f>
        <x:v>0.2015810276679842</x:v>
      </x:c>
      <x:c r="F43" s="22">
        <x:f>'11_Berechnungsbasis'!F25/'11_Berechnungsbasis'!D25</x:f>
        <x:v>0.2472582253240279</x:v>
      </x:c>
      <x:c r="G43" s="22">
        <x:f>'11_Berechnungsbasis'!F26/'11_Berechnungsbasis'!D26</x:f>
        <x:v>0.21212121212121213</x:v>
      </x:c>
      <x:c r="H43" s="22">
        <x:f>'11_Berechnungsbasis'!F27/'11_Berechnungsbasis'!D27</x:f>
        <x:v>0.3548387096774194</x:v>
      </x:c>
      <x:c r="I43" s="22">
        <x:f>'11_Berechnungsbasis'!F28/'11_Berechnungsbasis'!D28</x:f>
        <x:v>0.29222520107238603</x:v>
      </x:c>
      <x:c r="J43" s="22">
        <x:f>'02_Fraktion_Jahr'!H9</x:f>
        <x:v>0.2102193482946621</x:v>
      </x:c>
    </x:row>
    <x:row r="44" ht="22" customHeight="1">
      <x:c r="A44" s="15" t="inlineStr">
        <x:is>
          <x:t xml:space="preserve">SPD</x:t>
        </x:is>
      </x:c>
      <x:c r="B44" s="25">
        <x:f>'11_Berechnungsbasis'!F29/'11_Berechnungsbasis'!D29</x:f>
        <x:v>0.12231182795698925</x:v>
      </x:c>
      <x:c r="C44" s="25">
        <x:f>'11_Berechnungsbasis'!F30/'11_Berechnungsbasis'!D30</x:f>
        <x:v>0.11371841155234658</x:v>
      </x:c>
      <x:c r="D44" s="25">
        <x:f>'11_Berechnungsbasis'!F31/'11_Berechnungsbasis'!D31</x:f>
        <x:v>0.13011152416356878</x:v>
      </x:c>
      <x:c r="E44" s="25">
        <x:f>'11_Berechnungsbasis'!F32/'11_Berechnungsbasis'!D32</x:f>
        <x:v>0.1913265306122449</x:v>
      </x:c>
      <x:c r="F44" s="25">
        <x:f>'11_Berechnungsbasis'!F33/'11_Berechnungsbasis'!D33</x:f>
        <x:v>0.26256410256410256</x:v>
      </x:c>
      <x:c r="G44" s="25">
        <x:f>'11_Berechnungsbasis'!F34/'11_Berechnungsbasis'!D34</x:f>
        <x:v>0.17923497267759564</x:v>
      </x:c>
      <x:c r="H44" s="25">
        <x:f>'11_Berechnungsbasis'!F35/'11_Berechnungsbasis'!D35</x:f>
        <x:v>0.24686595949855353</x:v>
      </x:c>
      <x:c r="I44" s="25">
        <x:f>'11_Berechnungsbasis'!F36/'11_Berechnungsbasis'!D36</x:f>
        <x:v>0.2384428223844282</x:v>
      </x:c>
      <x:c r="J44" s="25">
        <x:f>'02_Fraktion_Jahr'!H10</x:f>
        <x:v>0.19277757815307223</x:v>
      </x:c>
    </x:row>
    <x:row r="45" ht="22" customHeight="1">
      <x:c r="A45" s="13" t="inlineStr">
        <x:is>
          <x:t xml:space="preserve">Grüne</x:t>
        </x:is>
      </x:c>
      <x:c r="B45" s="22">
        <x:f>'11_Berechnungsbasis'!F37/'11_Berechnungsbasis'!D37</x:f>
        <x:v>0.153125</x:v>
      </x:c>
      <x:c r="C45" s="22">
        <x:f>'11_Berechnungsbasis'!F38/'11_Berechnungsbasis'!D38</x:f>
        <x:v>0.14893617021276595</x:v>
      </x:c>
      <x:c r="D45" s="22">
        <x:f>'11_Berechnungsbasis'!F39/'11_Berechnungsbasis'!D39</x:f>
        <x:v>0.1787878787878788</x:v>
      </x:c>
      <x:c r="E45" s="22">
        <x:f>'11_Berechnungsbasis'!F40/'11_Berechnungsbasis'!D40</x:f>
        <x:v>0.20930232558139536</x:v>
      </x:c>
      <x:c r="F45" s="22">
        <x:f>'11_Berechnungsbasis'!F41/'11_Berechnungsbasis'!D41</x:f>
        <x:v>0.27154046997389036</x:v>
      </x:c>
      <x:c r="G45" s="22">
        <x:f>'11_Berechnungsbasis'!F42/'11_Berechnungsbasis'!D42</x:f>
        <x:v>0.19607843137254902</x:v>
      </x:c>
      <x:c r="H45" s="22">
        <x:f>'11_Berechnungsbasis'!F43/'11_Berechnungsbasis'!D43</x:f>
        <x:v>0.27932960893854747</x:v>
      </x:c>
      <x:c r="I45" s="22">
        <x:f>'11_Berechnungsbasis'!F44/'11_Berechnungsbasis'!D44</x:f>
        <x:v>0.2206703910614525</x:v>
      </x:c>
      <x:c r="J45" s="22">
        <x:f>'02_Fraktion_Jahr'!H11</x:f>
        <x:v>0.22139037433155082</x:v>
      </x:c>
    </x:row>
    <x:row r="46" ht="22" customHeight="1">
      <x:c r="A46" s="15" t="inlineStr">
        <x:is>
          <x:t xml:space="preserve">AfD</x:t>
        </x:is>
      </x:c>
      <x:c r="B46" s="25">
        <x:f>'11_Berechnungsbasis'!F45/'11_Berechnungsbasis'!D45</x:f>
        <x:v>0.20754716981132076</x:v>
      </x:c>
      <x:c r="C46" s="25">
        <x:f>'11_Berechnungsbasis'!F46/'11_Berechnungsbasis'!D46</x:f>
        <x:v>0.17391304347826086</x:v>
      </x:c>
      <x:c r="D46" s="25">
        <x:f>'11_Berechnungsbasis'!F47/'11_Berechnungsbasis'!D47</x:f>
        <x:v>0.236318407960199</x:v>
      </x:c>
      <x:c r="E46" s="25">
        <x:f>'11_Berechnungsbasis'!F48/'11_Berechnungsbasis'!D48</x:f>
        <x:v>0.28832116788321166</x:v>
      </x:c>
      <x:c r="F46" s="25">
        <x:f>'11_Berechnungsbasis'!F49/'11_Berechnungsbasis'!D49</x:f>
        <x:v>0.35294117647058826</x:v>
      </x:c>
      <x:c r="G46" s="25">
        <x:f>'11_Berechnungsbasis'!F50/'11_Berechnungsbasis'!D50</x:f>
        <x:v>0.25552825552825553</x:v>
      </x:c>
      <x:c r="H46" s="25">
        <x:f>'11_Berechnungsbasis'!F51/'11_Berechnungsbasis'!D51</x:f>
        <x:v>0.33459357277882795</x:v>
      </x:c>
      <x:c r="I46" s="25">
        <x:f>'11_Berechnungsbasis'!F52/'11_Berechnungsbasis'!D52</x:f>
        <x:v>0.350293542074364</x:v>
      </x:c>
      <x:c r="J46" s="25">
        <x:f>'02_Fraktion_Jahr'!H12</x:f>
        <x:v>0.2839653627948641</x:v>
      </x:c>
    </x:row>
    <x:row r="47" ht="22" customHeight="1">
      <x:c r="A47" s="13" t="inlineStr">
        <x:is>
          <x:t xml:space="preserve">FDP</x:t>
        </x:is>
      </x:c>
      <x:c r="B47" s="22">
        <x:f>'11_Berechnungsbasis'!F53/'11_Berechnungsbasis'!D53</x:f>
        <x:v>0.20113314447592068</x:v>
      </x:c>
      <x:c r="C47" s="22">
        <x:f>'11_Berechnungsbasis'!F54/'11_Berechnungsbasis'!D54</x:f>
        <x:v>0.18791946308724833</x:v>
      </x:c>
      <x:c r="D47" s="22">
        <x:f>'11_Berechnungsbasis'!F55/'11_Berechnungsbasis'!D55</x:f>
        <x:v>0.1901639344262295</x:v>
      </x:c>
      <x:c r="E47" s="22">
        <x:f>'11_Berechnungsbasis'!F56/'11_Berechnungsbasis'!D56</x:f>
        <x:v>0.2568306010928962</x:v>
      </x:c>
      <x:c r="F47" s="22">
        <x:f>'11_Berechnungsbasis'!F57/'11_Berechnungsbasis'!D57</x:f>
        <x:v>0.30952380952380953</x:v>
      </x:c>
      <x:c r="G47" s="22">
        <x:f>'11_Berechnungsbasis'!F58/'11_Berechnungsbasis'!D58</x:f>
        <x:v>0.22611464968152867</x:v>
      </x:c>
      <x:c r="H47" s="22">
        <x:f>'11_Berechnungsbasis'!F59/'11_Berechnungsbasis'!D59</x:f>
        <x:v>0.2990867579908676</x:v>
      </x:c>
      <x:c r="I47" s="22" t="inlineStr">
        <x:is>
          <x:t xml:space="preserve">n.a.¹</x:t>
        </x:is>
      </x:c>
      <x:c r="J47" s="22">
        <x:f>'02_Fraktion_Jahr'!H13</x:f>
        <x:v>0.2438380281690141</x:v>
      </x:c>
    </x:row>
    <x:row r="48" ht="22" customHeight="1">
      <x:c r="A48" s="15" t="inlineStr">
        <x:is>
          <x:t xml:space="preserve">Die Linke</x:t>
        </x:is>
      </x:c>
      <x:c r="B48" s="25">
        <x:f>'11_Berechnungsbasis'!F61/'11_Berechnungsbasis'!D61</x:f>
        <x:v>0.23163841807909605</x:v>
      </x:c>
      <x:c r="C48" s="25">
        <x:f>'11_Berechnungsbasis'!F62/'11_Berechnungsbasis'!D62</x:f>
        <x:v>0.2476489028213166</x:v>
      </x:c>
      <x:c r="D48" s="25">
        <x:f>'11_Berechnungsbasis'!F63/'11_Berechnungsbasis'!D63</x:f>
        <x:v>0.2468354430379747</x:v>
      </x:c>
      <x:c r="E48" s="25">
        <x:f>'11_Berechnungsbasis'!F64/'11_Berechnungsbasis'!D64</x:f>
        <x:v>0.30808080808080807</x:v>
      </x:c>
      <x:c r="F48" s="25">
        <x:f>'11_Berechnungsbasis'!F65/'11_Berechnungsbasis'!D65</x:f>
        <x:v>0.43466666666666665</x:v>
      </x:c>
      <x:c r="G48" s="25">
        <x:f>'11_Berechnungsbasis'!F66/'11_Berechnungsbasis'!D66</x:f>
        <x:v>0.34415584415584416</x:v>
      </x:c>
      <x:c r="H48" s="25">
        <x:f>'11_Berechnungsbasis'!F67/'11_Berechnungsbasis'!D67</x:f>
        <x:v>0.4393939393939394</x:v>
      </x:c>
      <x:c r="I48" s="25">
        <x:f>'11_Berechnungsbasis'!F68/'11_Berechnungsbasis'!D68</x:f>
        <x:v>0.3983739837398374</x:v>
      </x:c>
      <x:c r="J48" s="25">
        <x:f>'02_Fraktion_Jahr'!H14</x:f>
        <x:v>0.322508896797153</x:v>
      </x:c>
    </x:row>
    <x:row r="49" ht="22" customHeight="1">
      <x:c r="A49" s="38" t="inlineStr">
        <x:is>
          <x:t xml:space="preserve">Sechs Fraktionen gesamt</x:t>
        </x:is>
      </x:c>
      <x:c r="B49" s="29">
        <x:f>SUM('11_Berechnungsbasis'!F21,'11_Berechnungsbasis'!F29,'11_Berechnungsbasis'!F37,'11_Berechnungsbasis'!F45,'11_Berechnungsbasis'!F53,'11_Berechnungsbasis'!F61)/SUM('11_Berechnungsbasis'!D21,'11_Berechnungsbasis'!D29,'11_Berechnungsbasis'!D37,'11_Berechnungsbasis'!D45,'11_Berechnungsbasis'!D53,'11_Berechnungsbasis'!D61)</x:f>
        <x:v>0.16233766233766234</x:v>
      </x:c>
      <x:c r="C49" s="29">
        <x:f>SUM('11_Berechnungsbasis'!F22,'11_Berechnungsbasis'!F30,'11_Berechnungsbasis'!F38,'11_Berechnungsbasis'!F46,'11_Berechnungsbasis'!F54,'11_Berechnungsbasis'!F62)/SUM('11_Berechnungsbasis'!D22,'11_Berechnungsbasis'!D30,'11_Berechnungsbasis'!D38,'11_Berechnungsbasis'!D46,'11_Berechnungsbasis'!D54,'11_Berechnungsbasis'!D62)</x:f>
        <x:v>0.15549982085274094</x:v>
      </x:c>
      <x:c r="D49" s="29">
        <x:f>SUM('11_Berechnungsbasis'!F23,'11_Berechnungsbasis'!F31,'11_Berechnungsbasis'!F39,'11_Berechnungsbasis'!F47,'11_Berechnungsbasis'!F55,'11_Berechnungsbasis'!F63)/SUM('11_Berechnungsbasis'!D23,'11_Berechnungsbasis'!D31,'11_Berechnungsbasis'!D39,'11_Berechnungsbasis'!D47,'11_Berechnungsbasis'!D55,'11_Berechnungsbasis'!D63)</x:f>
        <x:v>0.16725183530162782</x:v>
      </x:c>
      <x:c r="E49" s="29">
        <x:f>SUM('11_Berechnungsbasis'!F24,'11_Berechnungsbasis'!F32,'11_Berechnungsbasis'!F40,'11_Berechnungsbasis'!F48,'11_Berechnungsbasis'!F56,'11_Berechnungsbasis'!F64)/SUM('11_Berechnungsbasis'!D24,'11_Berechnungsbasis'!D32,'11_Berechnungsbasis'!D40,'11_Berechnungsbasis'!D48,'11_Berechnungsbasis'!D56,'11_Berechnungsbasis'!D64)</x:f>
        <x:v>0.22442813983599483</x:v>
      </x:c>
      <x:c r="F49" s="29">
        <x:f>SUM('11_Berechnungsbasis'!F25,'11_Berechnungsbasis'!F33,'11_Berechnungsbasis'!F41,'11_Berechnungsbasis'!F49,'11_Berechnungsbasis'!F57,'11_Berechnungsbasis'!F65)/SUM('11_Berechnungsbasis'!D25,'11_Berechnungsbasis'!D33,'11_Berechnungsbasis'!D41,'11_Berechnungsbasis'!D49,'11_Berechnungsbasis'!D57,'11_Berechnungsbasis'!D65)</x:f>
        <x:v>0.29248814574494636</x:v>
      </x:c>
      <x:c r="G49" s="29">
        <x:f>SUM('11_Berechnungsbasis'!F26,'11_Berechnungsbasis'!F34,'11_Berechnungsbasis'!F42,'11_Berechnungsbasis'!F50,'11_Berechnungsbasis'!F58,'11_Berechnungsbasis'!F66)/SUM('11_Berechnungsbasis'!D26,'11_Berechnungsbasis'!D34,'11_Berechnungsbasis'!D42,'11_Berechnungsbasis'!D50,'11_Berechnungsbasis'!D58,'11_Berechnungsbasis'!D66)</x:f>
        <x:v>0.21859370403059725</x:v>
      </x:c>
      <x:c r="H49" s="29">
        <x:f>SUM('11_Berechnungsbasis'!F27,'11_Berechnungsbasis'!F35,'11_Berechnungsbasis'!F43,'11_Berechnungsbasis'!F51,'11_Berechnungsbasis'!F59,'11_Berechnungsbasis'!F67)/SUM('11_Berechnungsbasis'!D27,'11_Berechnungsbasis'!D35,'11_Berechnungsbasis'!D43,'11_Berechnungsbasis'!D51,'11_Berechnungsbasis'!D59,'11_Berechnungsbasis'!D67)</x:f>
        <x:v>0.3061955965181772</x:v>
      </x:c>
      <x:c r="I49" s="29">
        <x:f>SUM('11_Berechnungsbasis'!F28,'11_Berechnungsbasis'!F36,'11_Berechnungsbasis'!F44,'11_Berechnungsbasis'!F52,'11_Berechnungsbasis'!F60,'11_Berechnungsbasis'!F68)/SUM('11_Berechnungsbasis'!D28,'11_Berechnungsbasis'!D36,'11_Berechnungsbasis'!D44,'11_Berechnungsbasis'!D52,'11_Berechnungsbasis'!D60,'11_Berechnungsbasis'!D68)</x:f>
        <x:v>0.2967032967032967</x:v>
      </x:c>
      <x:c r="J49" s="29">
        <x:f>SUM('02_Fraktion_Jahr'!G9:G14)/SUM('02_Fraktion_Jahr'!C9:C14)</x:f>
        <x:v>0.23098715186337881</x:v>
      </x:c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 ht="26" customHeight="1">
      <x:c r="A52" s="10" t="inlineStr">
        <x:is>
          <x:t xml:space="preserve">S&amp;R innerhalb von A&amp;E</x:t>
        </x:is>
      </x:c>
      <x:c r="B52" s="1"/>
      <x:c r="C52" s="1"/>
      <x:c r="D52" s="1"/>
      <x:c r="E52" s="1"/>
      <x:c r="F52" s="1"/>
      <x:c r="G52" s="1"/>
      <x:c r="H52" s="1"/>
      <x:c r="I52" s="1"/>
      <x:c r="J52" s="1"/>
    </x:row>
    <x:row r="53" ht="54" customHeight="1">
      <x:c r="A53" s="11" t="inlineStr">
        <x:is>
          <x:t xml:space="preserve">Fraktion</x:t>
        </x:is>
      </x:c>
      <x:c r="B53" s="20" t="n">
        <x:v>2018</x:v>
      </x:c>
      <x:c r="C53" s="20" t="n">
        <x:v>2019</x:v>
      </x:c>
      <x:c r="D53" s="20" t="n">
        <x:v>2020</x:v>
      </x:c>
      <x:c r="E53" s="20" t="n">
        <x:v>2021</x:v>
      </x:c>
      <x:c r="F53" s="20" t="n">
        <x:v>2022</x:v>
      </x:c>
      <x:c r="G53" s="20" t="n">
        <x:v>2023</x:v>
      </x:c>
      <x:c r="H53" s="20" t="n">
        <x:v>2024</x:v>
      </x:c>
      <x:c r="I53" s="20" t="n">
        <x:v>2025</x:v>
      </x:c>
      <x:c r="J53" s="12" t="inlineStr">
        <x:is>
          <x:t xml:space="preserve">2018–2025</x:t>
        </x:is>
      </x:c>
    </x:row>
    <x:row r="54" ht="22" customHeight="1">
      <x:c r="A54" s="13" t="inlineStr">
        <x:is>
          <x:t xml:space="preserve">CDU/CSU</x:t>
        </x:is>
      </x:c>
      <x:c r="B54" s="22">
        <x:f>'11_Berechnungsbasis'!G21/'11_Berechnungsbasis'!D21</x:f>
        <x:v>0.010073260073260074</x:v>
      </x:c>
      <x:c r="C54" s="22">
        <x:f>'11_Berechnungsbasis'!G22/'11_Berechnungsbasis'!D22</x:f>
        <x:v>0.021141649048625793</x:v>
      </x:c>
      <x:c r="D54" s="22">
        <x:f>'11_Berechnungsbasis'!G23/'11_Berechnungsbasis'!D23</x:f>
        <x:v>0.018518518518518517</x:v>
      </x:c>
      <x:c r="E54" s="22">
        <x:f>'11_Berechnungsbasis'!G24/'11_Berechnungsbasis'!D24</x:f>
        <x:v>0.03359683794466403</x:v>
      </x:c>
      <x:c r="F54" s="22">
        <x:f>'11_Berechnungsbasis'!G25/'11_Berechnungsbasis'!D25</x:f>
        <x:v>0.07976071784646062</x:v>
      </x:c>
      <x:c r="G54" s="22">
        <x:f>'11_Berechnungsbasis'!G26/'11_Berechnungsbasis'!D26</x:f>
        <x:v>0.045454545454545456</x:v>
      </x:c>
      <x:c r="H54" s="22">
        <x:f>'11_Berechnungsbasis'!G27/'11_Berechnungsbasis'!D27</x:f>
        <x:v>0.014231499051233396</x:v>
      </x:c>
      <x:c r="I54" s="22">
        <x:f>'11_Berechnungsbasis'!G28/'11_Berechnungsbasis'!D28</x:f>
        <x:v>0.04691689008042895</x:v>
      </x:c>
      <x:c r="J54" s="22">
        <x:f>'02_Fraktion_Jahr'!J9</x:f>
        <x:v>0.03220489412958032</x:v>
      </x:c>
    </x:row>
    <x:row r="55" ht="22" customHeight="1">
      <x:c r="A55" s="15" t="inlineStr">
        <x:is>
          <x:t xml:space="preserve">SPD</x:t>
        </x:is>
      </x:c>
      <x:c r="B55" s="25">
        <x:f>'11_Berechnungsbasis'!G29/'11_Berechnungsbasis'!D29</x:f>
        <x:v>0.009408602150537635</x:v>
      </x:c>
      <x:c r="C55" s="25">
        <x:f>'11_Berechnungsbasis'!G30/'11_Berechnungsbasis'!D30</x:f>
        <x:v>0.016245487364620937</x:v>
      </x:c>
      <x:c r="D55" s="25">
        <x:f>'11_Berechnungsbasis'!G31/'11_Berechnungsbasis'!D31</x:f>
        <x:v>0.026022304832713755</x:v>
      </x:c>
      <x:c r="E55" s="25">
        <x:f>'11_Berechnungsbasis'!G32/'11_Berechnungsbasis'!D32</x:f>
        <x:v>0.007653061224489796</x:v>
      </x:c>
      <x:c r="F55" s="25">
        <x:f>'11_Berechnungsbasis'!G33/'11_Berechnungsbasis'!D33</x:f>
        <x:v>0.09948717948717949</x:v>
      </x:c>
      <x:c r="G55" s="25">
        <x:f>'11_Berechnungsbasis'!G34/'11_Berechnungsbasis'!D34</x:f>
        <x:v>0.08087431693989071</x:v>
      </x:c>
      <x:c r="H55" s="25">
        <x:f>'11_Berechnungsbasis'!G35/'11_Berechnungsbasis'!D35</x:f>
        <x:v>0.02507232401157184</x:v>
      </x:c>
      <x:c r="I55" s="25">
        <x:f>'11_Berechnungsbasis'!G36/'11_Berechnungsbasis'!D36</x:f>
        <x:v>0.0413625304136253</x:v>
      </x:c>
      <x:c r="J55" s="25">
        <x:f>'02_Fraktion_Jahr'!J10</x:f>
        <x:v>0.04437657204455624</x:v>
      </x:c>
    </x:row>
    <x:row r="56" ht="22" customHeight="1">
      <x:c r="A56" s="13" t="inlineStr">
        <x:is>
          <x:t xml:space="preserve">Grüne</x:t>
        </x:is>
      </x:c>
      <x:c r="B56" s="22">
        <x:f>'11_Berechnungsbasis'!G37/'11_Berechnungsbasis'!D37</x:f>
        <x:v>0.009375</x:v>
      </x:c>
      <x:c r="C56" s="22">
        <x:f>'11_Berechnungsbasis'!G38/'11_Berechnungsbasis'!D38</x:f>
        <x:v>0.02127659574468085</x:v>
      </x:c>
      <x:c r="D56" s="22">
        <x:f>'11_Berechnungsbasis'!G39/'11_Berechnungsbasis'!D39</x:f>
        <x:v>0.024242424242424242</x:v>
      </x:c>
      <x:c r="E56" s="22">
        <x:f>'11_Berechnungsbasis'!G40/'11_Berechnungsbasis'!D40</x:f>
        <x:v>0.007751937984496124</x:v>
      </x:c>
      <x:c r="F56" s="22">
        <x:f>'11_Berechnungsbasis'!G41/'11_Berechnungsbasis'!D41</x:f>
        <x:v>0.13315926892950392</x:v>
      </x:c>
      <x:c r="G56" s="22">
        <x:f>'11_Berechnungsbasis'!G42/'11_Berechnungsbasis'!D42</x:f>
        <x:v>0.06334841628959276</x:v>
      </x:c>
      <x:c r="H56" s="22">
        <x:f>'11_Berechnungsbasis'!G43/'11_Berechnungsbasis'!D43</x:f>
        <x:v>0.03770949720670391</x:v>
      </x:c>
      <x:c r="I56" s="22">
        <x:f>'11_Berechnungsbasis'!G44/'11_Berechnungsbasis'!D44</x:f>
        <x:v>0.04189944134078212</x:v>
      </x:c>
      <x:c r="J56" s="22">
        <x:f>'02_Fraktion_Jahr'!J11</x:f>
        <x:v>0.05508021390374331</x:v>
      </x:c>
    </x:row>
    <x:row r="57" ht="22" customHeight="1">
      <x:c r="A57" s="15" t="inlineStr">
        <x:is>
          <x:t xml:space="preserve">AfD</x:t>
        </x:is>
      </x:c>
      <x:c r="B57" s="25">
        <x:f>'11_Berechnungsbasis'!G45/'11_Berechnungsbasis'!D45</x:f>
        <x:v>0.013477088948787063</x:v>
      </x:c>
      <x:c r="C57" s="25">
        <x:f>'11_Berechnungsbasis'!G46/'11_Berechnungsbasis'!D46</x:f>
        <x:v>0.017391304347826087</x:v>
      </x:c>
      <x:c r="D57" s="25">
        <x:f>'11_Berechnungsbasis'!G47/'11_Berechnungsbasis'!D47</x:f>
        <x:v>0.03731343283582089</x:v>
      </x:c>
      <x:c r="E57" s="25">
        <x:f>'11_Berechnungsbasis'!G48/'11_Berechnungsbasis'!D48</x:f>
        <x:v>0.032846715328467155</x:v>
      </x:c>
      <x:c r="F57" s="25">
        <x:f>'11_Berechnungsbasis'!G49/'11_Berechnungsbasis'!D49</x:f>
        <x:v>0.10588235294117647</x:v>
      </x:c>
      <x:c r="G57" s="25">
        <x:f>'11_Berechnungsbasis'!G50/'11_Berechnungsbasis'!D50</x:f>
        <x:v>0.07616707616707617</x:v>
      </x:c>
      <x:c r="H57" s="25">
        <x:f>'11_Berechnungsbasis'!G51/'11_Berechnungsbasis'!D51</x:f>
        <x:v>0.030245746691871456</x:v>
      </x:c>
      <x:c r="I57" s="25">
        <x:f>'11_Berechnungsbasis'!G52/'11_Berechnungsbasis'!D52</x:f>
        <x:v>0.04892367906066536</x:v>
      </x:c>
      <x:c r="J57" s="25">
        <x:f>'02_Fraktion_Jahr'!J12</x:f>
        <x:v>0.0480740519558077</x:v>
      </x:c>
    </x:row>
    <x:row r="58" ht="22" customHeight="1">
      <x:c r="A58" s="13" t="inlineStr">
        <x:is>
          <x:t xml:space="preserve">FDP</x:t>
        </x:is>
      </x:c>
      <x:c r="B58" s="22">
        <x:f>'11_Berechnungsbasis'!G53/'11_Berechnungsbasis'!D53</x:f>
        <x:v>0.031161473087818695</x:v>
      </x:c>
      <x:c r="C58" s="22">
        <x:f>'11_Berechnungsbasis'!G54/'11_Berechnungsbasis'!D54</x:f>
        <x:v>0.016778523489932886</x:v>
      </x:c>
      <x:c r="D58" s="22">
        <x:f>'11_Berechnungsbasis'!G55/'11_Berechnungsbasis'!D55</x:f>
        <x:v>0.036065573770491806</x:v>
      </x:c>
      <x:c r="E58" s="22">
        <x:f>'11_Berechnungsbasis'!G56/'11_Berechnungsbasis'!D56</x:f>
        <x:v>0.03278688524590164</x:v>
      </x:c>
      <x:c r="F58" s="22">
        <x:f>'11_Berechnungsbasis'!G57/'11_Berechnungsbasis'!D57</x:f>
        <x:v>0.10317460317460317</x:v>
      </x:c>
      <x:c r="G58" s="22">
        <x:f>'11_Berechnungsbasis'!G58/'11_Berechnungsbasis'!D58</x:f>
        <x:v>0.041401273885350316</x:v>
      </x:c>
      <x:c r="H58" s="22">
        <x:f>'11_Berechnungsbasis'!G59/'11_Berechnungsbasis'!D59</x:f>
        <x:v>0.0182648401826484</x:v>
      </x:c>
      <x:c r="I58" s="22" t="inlineStr">
        <x:is>
          <x:t xml:space="preserve">n.a.¹</x:t>
        </x:is>
      </x:c>
      <x:c r="J58" s="22">
        <x:f>'02_Fraktion_Jahr'!J13</x:f>
        <x:v>0.0409330985915493</x:v>
      </x:c>
    </x:row>
    <x:row r="59" ht="22" customHeight="1">
      <x:c r="A59" s="15" t="inlineStr">
        <x:is>
          <x:t xml:space="preserve">Die Linke</x:t>
        </x:is>
      </x:c>
      <x:c r="B59" s="25">
        <x:f>'11_Berechnungsbasis'!G61/'11_Berechnungsbasis'!D61</x:f>
        <x:v>0.011299435028248588</x:v>
      </x:c>
      <x:c r="C59" s="25">
        <x:f>'11_Berechnungsbasis'!G62/'11_Berechnungsbasis'!D62</x:f>
        <x:v>0.01567398119122257</x:v>
      </x:c>
      <x:c r="D59" s="25">
        <x:f>'11_Berechnungsbasis'!G63/'11_Berechnungsbasis'!D63</x:f>
        <x:v>0.02531645569620253</x:v>
      </x:c>
      <x:c r="E59" s="25">
        <x:f>'11_Berechnungsbasis'!G64/'11_Berechnungsbasis'!D64</x:f>
        <x:v>0.025252525252525252</x:v>
      </x:c>
      <x:c r="F59" s="25">
        <x:f>'11_Berechnungsbasis'!G65/'11_Berechnungsbasis'!D65</x:f>
        <x:v>0.08266666666666667</x:v>
      </x:c>
      <x:c r="G59" s="25">
        <x:f>'11_Berechnungsbasis'!G66/'11_Berechnungsbasis'!D66</x:f>
        <x:v>0.06168831168831169</x:v>
      </x:c>
      <x:c r="H59" s="25">
        <x:f>'11_Berechnungsbasis'!G67/'11_Berechnungsbasis'!D67</x:f>
        <x:v>0.0</x:v>
      </x:c>
      <x:c r="I59" s="25">
        <x:f>'11_Berechnungsbasis'!G68/'11_Berechnungsbasis'!D68</x:f>
        <x:v>0.04065040650406504</x:v>
      </x:c>
      <x:c r="J59" s="25">
        <x:f>'02_Fraktion_Jahr'!J14</x:f>
        <x:v>0.036476868327402136</x:v>
      </x:c>
    </x:row>
    <x:row r="60" ht="22" customHeight="1">
      <x:c r="A60" s="38" t="inlineStr">
        <x:is>
          <x:t xml:space="preserve">Sechs Fraktionen gesamt</x:t>
        </x:is>
      </x:c>
      <x:c r="B60" s="29">
        <x:f>SUM('11_Berechnungsbasis'!G21,'11_Berechnungsbasis'!G29,'11_Berechnungsbasis'!G37,'11_Berechnungsbasis'!G45,'11_Berechnungsbasis'!G53,'11_Berechnungsbasis'!G61)/SUM('11_Berechnungsbasis'!D21,'11_Berechnungsbasis'!D29,'11_Berechnungsbasis'!D37,'11_Berechnungsbasis'!D45,'11_Berechnungsbasis'!D53,'11_Berechnungsbasis'!D61)</x:f>
        <x:v>0.012677798392084107</x:v>
      </x:c>
      <x:c r="C60" s="29">
        <x:f>SUM('11_Berechnungsbasis'!G22,'11_Berechnungsbasis'!G30,'11_Berechnungsbasis'!G38,'11_Berechnungsbasis'!G46,'11_Berechnungsbasis'!G54,'11_Berechnungsbasis'!G62)/SUM('11_Berechnungsbasis'!D22,'11_Berechnungsbasis'!D30,'11_Berechnungsbasis'!D38,'11_Berechnungsbasis'!D46,'11_Berechnungsbasis'!D54,'11_Berechnungsbasis'!D62)</x:f>
        <x:v>0.018631314940881404</x:v>
      </x:c>
      <x:c r="D60" s="29">
        <x:f>SUM('11_Berechnungsbasis'!G23,'11_Berechnungsbasis'!G31,'11_Berechnungsbasis'!G39,'11_Berechnungsbasis'!G47,'11_Berechnungsbasis'!G55,'11_Berechnungsbasis'!G63)/SUM('11_Berechnungsbasis'!D23,'11_Berechnungsbasis'!D31,'11_Berechnungsbasis'!D39,'11_Berechnungsbasis'!D47,'11_Berechnungsbasis'!D55,'11_Berechnungsbasis'!D63)</x:f>
        <x:v>0.025215448451962975</x:v>
      </x:c>
      <x:c r="E60" s="29">
        <x:f>SUM('11_Berechnungsbasis'!G24,'11_Berechnungsbasis'!G32,'11_Berechnungsbasis'!G40,'11_Berechnungsbasis'!G48,'11_Berechnungsbasis'!G56,'11_Berechnungsbasis'!G64)/SUM('11_Berechnungsbasis'!D24,'11_Berechnungsbasis'!D32,'11_Berechnungsbasis'!D40,'11_Berechnungsbasis'!D48,'11_Berechnungsbasis'!D56,'11_Berechnungsbasis'!D64)</x:f>
        <x:v>0.025463962019853258</x:v>
      </x:c>
      <x:c r="F60" s="29">
        <x:f>SUM('11_Berechnungsbasis'!G25,'11_Berechnungsbasis'!G33,'11_Berechnungsbasis'!G41,'11_Berechnungsbasis'!G49,'11_Berechnungsbasis'!G57,'11_Berechnungsbasis'!G65)/SUM('11_Berechnungsbasis'!D25,'11_Berechnungsbasis'!D33,'11_Berechnungsbasis'!D41,'11_Berechnungsbasis'!D49,'11_Berechnungsbasis'!D57,'11_Berechnungsbasis'!D65)</x:f>
        <x:v>0.10057399550786124</x:v>
      </x:c>
      <x:c r="G60" s="29">
        <x:f>SUM('11_Berechnungsbasis'!G26,'11_Berechnungsbasis'!G34,'11_Berechnungsbasis'!G42,'11_Berechnungsbasis'!G50,'11_Berechnungsbasis'!G58,'11_Berechnungsbasis'!G66)/SUM('11_Berechnungsbasis'!D26,'11_Berechnungsbasis'!D34,'11_Berechnungsbasis'!D42,'11_Berechnungsbasis'!D50,'11_Berechnungsbasis'!D58,'11_Berechnungsbasis'!D66)</x:f>
        <x:v>0.06325389820535451</x:v>
      </x:c>
      <x:c r="H60" s="29">
        <x:f>SUM('11_Berechnungsbasis'!G27,'11_Berechnungsbasis'!G35,'11_Berechnungsbasis'!G43,'11_Berechnungsbasis'!G51,'11_Berechnungsbasis'!G59,'11_Berechnungsbasis'!G67)/SUM('11_Berechnungsbasis'!D27,'11_Berechnungsbasis'!D35,'11_Berechnungsbasis'!D43,'11_Berechnungsbasis'!D51,'11_Berechnungsbasis'!D59,'11_Berechnungsbasis'!D67)</x:f>
        <x:v>0.023553507424475168</x:v>
      </x:c>
      <x:c r="I60" s="29">
        <x:f>SUM('11_Berechnungsbasis'!G28,'11_Berechnungsbasis'!G36,'11_Berechnungsbasis'!G44,'11_Berechnungsbasis'!G52,'11_Berechnungsbasis'!G60,'11_Berechnungsbasis'!G68)/SUM('11_Berechnungsbasis'!D28,'11_Berechnungsbasis'!D36,'11_Berechnungsbasis'!D44,'11_Berechnungsbasis'!D52,'11_Berechnungsbasis'!D60,'11_Berechnungsbasis'!D68)</x:f>
        <x:v>0.04483516483516484</x:v>
      </x:c>
      <x:c r="J60" s="29">
        <x:f>SUM('02_Fraktion_Jahr'!I9:I14)/SUM('02_Fraktion_Jahr'!C9:C14)</x:f>
        <x:v>0.04161679035990743</x:v>
      </x:c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</x:row>
  </x:sheetData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13.890000343322754" hidden="0" customWidth="1"/>
    <x:col min="2" max="2" width="18.889999389648438" hidden="0" customWidth="1"/>
    <x:col min="3" max="3" width="13.329999923706055" hidden="0" customWidth="1"/>
    <x:col min="4" max="4" width="12.779999732971191" hidden="0" customWidth="1"/>
    <x:col min="5" max="5" width="13.329999923706055" hidden="0" customWidth="1"/>
    <x:col min="6" max="6" width="15" hidden="0" customWidth="1"/>
    <x:col min="7" max="7" width="15" hidden="0" customWidth="1"/>
    <x:col min="8" max="8" width="13.890000343322754" hidden="0" customWidth="1"/>
    <x:col min="9" max="9" width="13.890000343322754" hidden="0" customWidth="1"/>
    <x:col min="10" max="10" width="15.5600004196167" hidden="0" customWidth="1"/>
    <x:col min="11" max="11" width="11.670000076293945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8" customHeight="1">
      <x:c r="A2" s="2" t="str">
        <x:v>Fraktionsveränderungen und Abstände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2" customHeight="1">
      <x:c r="A3" s="4" t="str">
        <x:v>Gemeinsamer Jahreswert: Themenanteil aus den summierten Sätzen der sechs Fraktionen. Kein Mittelwert ihrer Prozentwerte.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2" customHeight="1">
      <x:c r="A4" s="4" t="str">
        <x:v>FDP 2025 bleibt im gemeinsamen Jahreswert; individuelle Anteile und den Übergang 2024/25 betreffende Werte sind ausgenommen.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</x:row>
    <x:row r="7" ht="26" customHeight="1">
      <x:c r="A7" s="10" t="str">
        <x:v>Wiederkehrende Unterschiede im Jahresvergleich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</x:row>
    <x:row r="8" ht="54" customHeight="1">
      <x:c r="A8" s="11" t="inlineStr">
        <x:is>
          <x:t xml:space="preserve">Fraktion</x:t>
        </x:is>
      </x:c>
      <x:c r="B8" s="20" t="inlineStr">
        <x:is>
          <x:t xml:space="preserve">Dimension</x:t>
        </x:is>
      </x:c>
      <x:c r="C8" s="20" t="inlineStr">
        <x:is>
          <x:t xml:space="preserve">Vergleichbare Jahre</x:t>
        </x:is>
      </x:c>
      <x:c r="D8" s="20" t="str">
        <x:v>Über Jahreswert</x:v>
      </x:c>
      <x:c r="E8" s="20" t="str">
        <x:v>Unter Jahreswert</x:v>
      </x:c>
      <x:c r="F8" s="20" t="str">
        <x:v>Gleich Jahreswert</x:v>
      </x:c>
      <x:c r="G8"/>
      <x:c r="H8" s="1"/>
      <x:c r="I8" s="1"/>
      <x:c r="J8" s="1"/>
      <x:c r="K8" s="1"/>
    </x:row>
    <x:row r="9" ht="22" customHeight="1">
      <x:c r="A9" s="13" t="inlineStr">
        <x:is>
          <x:t xml:space="preserve">CDU/CSU</x:t>
        </x:is>
      </x:c>
      <x:c r="B9" s="13" t="inlineStr">
        <x:is>
          <x:t xml:space="preserve">Ökologie</x:t>
        </x:is>
      </x:c>
      <x:c r="C9" s="14" t="n">
        <x:v>8</x:v>
      </x:c>
      <x:c r="D9" s="14">
        <x:f>COUNTIFS('03_Fraktionsvergleich'!B56:B199,A9,'03_Fraktionsvergleich'!C56:C199,B9,'03_Fraktionsvergleich'!J56:J199,"&gt;0")</x:f>
        <x:v>1</x:v>
      </x:c>
      <x:c r="E9" s="14">
        <x:f>COUNTIFS('03_Fraktionsvergleich'!B56:B199,A9,'03_Fraktionsvergleich'!C56:C199,B9,'03_Fraktionsvergleich'!J56:J199,"&lt;0")</x:f>
        <x:v>7</x:v>
      </x:c>
      <x:c r="F9" s="14">
        <x:f>COUNTIFS('03_Fraktionsvergleich'!B56:B199,A9,'03_Fraktionsvergleich'!C56:C199,B9,'03_Fraktionsvergleich'!J56:J199,"=0")</x:f>
        <x:v>0</x:v>
      </x:c>
      <x:c r="G9"/>
      <x:c r="H9" s="1"/>
      <x:c r="I9" s="1"/>
      <x:c r="J9" s="1"/>
      <x:c r="K9" s="1"/>
    </x:row>
    <x:row r="10" ht="22" customHeight="1">
      <x:c r="A10" s="15" t="inlineStr">
        <x:is>
          <x:t xml:space="preserve">CDU/CSU</x:t>
        </x:is>
      </x:c>
      <x:c r="B10" s="15" t="inlineStr">
        <x:is>
          <x:t xml:space="preserve">Ökonomie</x:t>
        </x:is>
      </x:c>
      <x:c r="C10" s="16" t="n">
        <x:v>8</x:v>
      </x:c>
      <x:c r="D10" s="16">
        <x:f>COUNTIFS('03_Fraktionsvergleich'!B56:B199,A10,'03_Fraktionsvergleich'!C56:C199,B10,'03_Fraktionsvergleich'!J56:J199,"&gt;0")</x:f>
        <x:v>1</x:v>
      </x:c>
      <x:c r="E10" s="16">
        <x:f>COUNTIFS('03_Fraktionsvergleich'!B56:B199,A10,'03_Fraktionsvergleich'!C56:C199,B10,'03_Fraktionsvergleich'!J56:J199,"&lt;0")</x:f>
        <x:v>7</x:v>
      </x:c>
      <x:c r="F10" s="16">
        <x:f>COUNTIFS('03_Fraktionsvergleich'!B56:B199,A10,'03_Fraktionsvergleich'!C56:C199,B10,'03_Fraktionsvergleich'!J56:J199,"=0")</x:f>
        <x:v>0</x:v>
      </x:c>
      <x:c r="G10"/>
      <x:c r="H10" s="1"/>
      <x:c r="I10" s="1"/>
      <x:c r="J10" s="1"/>
      <x:c r="K10" s="1"/>
    </x:row>
    <x:row r="11" ht="22" customHeight="1">
      <x:c r="A11" s="13" t="inlineStr">
        <x:is>
          <x:t xml:space="preserve">CDU/CSU</x:t>
        </x:is>
      </x:c>
      <x:c r="B11" s="13" t="inlineStr">
        <x:is>
          <x:t xml:space="preserve">S&amp;R</x:t>
        </x:is>
      </x:c>
      <x:c r="C11" s="14" t="n">
        <x:v>8</x:v>
      </x:c>
      <x:c r="D11" s="14">
        <x:f>COUNTIFS('03_Fraktionsvergleich'!B56:B199,A11,'03_Fraktionsvergleich'!C56:C199,B11,'03_Fraktionsvergleich'!J56:J199,"&gt;0")</x:f>
        <x:v>3</x:v>
      </x:c>
      <x:c r="E11" s="14">
        <x:f>COUNTIFS('03_Fraktionsvergleich'!B56:B199,A11,'03_Fraktionsvergleich'!C56:C199,B11,'03_Fraktionsvergleich'!J56:J199,"&lt;0")</x:f>
        <x:v>5</x:v>
      </x:c>
      <x:c r="F11" s="14">
        <x:f>COUNTIFS('03_Fraktionsvergleich'!B56:B199,A11,'03_Fraktionsvergleich'!C56:C199,B11,'03_Fraktionsvergleich'!J56:J199,"=0")</x:f>
        <x:v>0</x:v>
      </x:c>
      <x:c r="G11"/>
      <x:c r="H11" s="1"/>
      <x:c r="I11" s="1"/>
      <x:c r="J11" s="1"/>
      <x:c r="K11" s="1"/>
    </x:row>
    <x:row r="12" ht="22" customHeight="1">
      <x:c r="A12" s="15" t="inlineStr">
        <x:is>
          <x:t xml:space="preserve">SPD</x:t>
        </x:is>
      </x:c>
      <x:c r="B12" s="15" t="inlineStr">
        <x:is>
          <x:t xml:space="preserve">Ökologie</x:t>
        </x:is>
      </x:c>
      <x:c r="C12" s="16" t="n">
        <x:v>8</x:v>
      </x:c>
      <x:c r="D12" s="16">
        <x:f>COUNTIFS('03_Fraktionsvergleich'!B56:B199,A12,'03_Fraktionsvergleich'!C56:C199,B12,'03_Fraktionsvergleich'!J56:J199,"&gt;0")</x:f>
        <x:v>7</x:v>
      </x:c>
      <x:c r="E12" s="16">
        <x:f>COUNTIFS('03_Fraktionsvergleich'!B56:B199,A12,'03_Fraktionsvergleich'!C56:C199,B12,'03_Fraktionsvergleich'!J56:J199,"&lt;0")</x:f>
        <x:v>1</x:v>
      </x:c>
      <x:c r="F12" s="16">
        <x:f>COUNTIFS('03_Fraktionsvergleich'!B56:B199,A12,'03_Fraktionsvergleich'!C56:C199,B12,'03_Fraktionsvergleich'!J56:J199,"=0")</x:f>
        <x:v>0</x:v>
      </x:c>
      <x:c r="G12"/>
      <x:c r="H12" s="1"/>
      <x:c r="I12" s="1"/>
      <x:c r="J12" s="1"/>
      <x:c r="K12" s="1"/>
    </x:row>
    <x:row r="13" ht="22" customHeight="1">
      <x:c r="A13" s="13" t="inlineStr">
        <x:is>
          <x:t xml:space="preserve">SPD</x:t>
        </x:is>
      </x:c>
      <x:c r="B13" s="13" t="inlineStr">
        <x:is>
          <x:t xml:space="preserve">Ökonomie</x:t>
        </x:is>
      </x:c>
      <x:c r="C13" s="14" t="n">
        <x:v>8</x:v>
      </x:c>
      <x:c r="D13" s="14">
        <x:f>COUNTIFS('03_Fraktionsvergleich'!B56:B199,A13,'03_Fraktionsvergleich'!C56:C199,B13,'03_Fraktionsvergleich'!J56:J199,"&gt;0")</x:f>
        <x:v>0</x:v>
      </x:c>
      <x:c r="E13" s="14">
        <x:f>COUNTIFS('03_Fraktionsvergleich'!B56:B199,A13,'03_Fraktionsvergleich'!C56:C199,B13,'03_Fraktionsvergleich'!J56:J199,"&lt;0")</x:f>
        <x:v>8</x:v>
      </x:c>
      <x:c r="F13" s="14">
        <x:f>COUNTIFS('03_Fraktionsvergleich'!B56:B199,A13,'03_Fraktionsvergleich'!C56:C199,B13,'03_Fraktionsvergleich'!J56:J199,"=0")</x:f>
        <x:v>0</x:v>
      </x:c>
      <x:c r="G13"/>
      <x:c r="H13" s="1"/>
      <x:c r="I13" s="1"/>
      <x:c r="J13" s="1"/>
      <x:c r="K13" s="1"/>
    </x:row>
    <x:row r="14" ht="22" customHeight="1">
      <x:c r="A14" s="15" t="inlineStr">
        <x:is>
          <x:t xml:space="preserve">SPD</x:t>
        </x:is>
      </x:c>
      <x:c r="B14" s="15" t="inlineStr">
        <x:is>
          <x:t xml:space="preserve">S&amp;R</x:t>
        </x:is>
      </x:c>
      <x:c r="C14" s="16" t="n">
        <x:v>8</x:v>
      </x:c>
      <x:c r="D14" s="16">
        <x:f>COUNTIFS('03_Fraktionsvergleich'!B56:B199,A14,'03_Fraktionsvergleich'!C56:C199,B14,'03_Fraktionsvergleich'!J56:J199,"&gt;0")</x:f>
        <x:v>3</x:v>
      </x:c>
      <x:c r="E14" s="16">
        <x:f>COUNTIFS('03_Fraktionsvergleich'!B56:B199,A14,'03_Fraktionsvergleich'!C56:C199,B14,'03_Fraktionsvergleich'!J56:J199,"&lt;0")</x:f>
        <x:v>5</x:v>
      </x:c>
      <x:c r="F14" s="16">
        <x:f>COUNTIFS('03_Fraktionsvergleich'!B56:B199,A14,'03_Fraktionsvergleich'!C56:C199,B14,'03_Fraktionsvergleich'!J56:J199,"=0")</x:f>
        <x:v>0</x:v>
      </x:c>
      <x:c r="G14"/>
      <x:c r="H14" s="1"/>
      <x:c r="I14" s="1"/>
      <x:c r="J14" s="1"/>
      <x:c r="K14" s="1"/>
    </x:row>
    <x:row r="15" ht="22" customHeight="1">
      <x:c r="A15" s="13" t="inlineStr">
        <x:is>
          <x:t xml:space="preserve">Grüne</x:t>
        </x:is>
      </x:c>
      <x:c r="B15" s="13" t="inlineStr">
        <x:is>
          <x:t xml:space="preserve">Ökologie</x:t>
        </x:is>
      </x:c>
      <x:c r="C15" s="14" t="n">
        <x:v>8</x:v>
      </x:c>
      <x:c r="D15" s="14">
        <x:f>COUNTIFS('03_Fraktionsvergleich'!B56:B199,A15,'03_Fraktionsvergleich'!C56:C199,B15,'03_Fraktionsvergleich'!J56:J199,"&gt;0")</x:f>
        <x:v>8</x:v>
      </x:c>
      <x:c r="E15" s="14">
        <x:f>COUNTIFS('03_Fraktionsvergleich'!B56:B199,A15,'03_Fraktionsvergleich'!C56:C199,B15,'03_Fraktionsvergleich'!J56:J199,"&lt;0")</x:f>
        <x:v>0</x:v>
      </x:c>
      <x:c r="F15" s="14">
        <x:f>COUNTIFS('03_Fraktionsvergleich'!B56:B199,A15,'03_Fraktionsvergleich'!C56:C199,B15,'03_Fraktionsvergleich'!J56:J199,"=0")</x:f>
        <x:v>0</x:v>
      </x:c>
      <x:c r="G15"/>
      <x:c r="H15" s="1"/>
      <x:c r="I15" s="1"/>
      <x:c r="J15" s="1"/>
      <x:c r="K15" s="1"/>
    </x:row>
    <x:row r="16" ht="22" customHeight="1">
      <x:c r="A16" s="15" t="inlineStr">
        <x:is>
          <x:t xml:space="preserve">Grüne</x:t>
        </x:is>
      </x:c>
      <x:c r="B16" s="15" t="inlineStr">
        <x:is>
          <x:t xml:space="preserve">Ökonomie</x:t>
        </x:is>
      </x:c>
      <x:c r="C16" s="16" t="n">
        <x:v>8</x:v>
      </x:c>
      <x:c r="D16" s="16">
        <x:f>COUNTIFS('03_Fraktionsvergleich'!B56:B199,A16,'03_Fraktionsvergleich'!C56:C199,B16,'03_Fraktionsvergleich'!J56:J199,"&gt;0")</x:f>
        <x:v>1</x:v>
      </x:c>
      <x:c r="E16" s="16">
        <x:f>COUNTIFS('03_Fraktionsvergleich'!B56:B199,A16,'03_Fraktionsvergleich'!C56:C199,B16,'03_Fraktionsvergleich'!J56:J199,"&lt;0")</x:f>
        <x:v>7</x:v>
      </x:c>
      <x:c r="F16" s="16">
        <x:f>COUNTIFS('03_Fraktionsvergleich'!B56:B199,A16,'03_Fraktionsvergleich'!C56:C199,B16,'03_Fraktionsvergleich'!J56:J199,"=0")</x:f>
        <x:v>0</x:v>
      </x:c>
      <x:c r="G16"/>
      <x:c r="H16" s="1"/>
      <x:c r="I16" s="1"/>
      <x:c r="J16" s="1"/>
      <x:c r="K16" s="1"/>
    </x:row>
    <x:row r="17" ht="22" customHeight="1">
      <x:c r="A17" s="13" t="inlineStr">
        <x:is>
          <x:t xml:space="preserve">Grüne</x:t>
        </x:is>
      </x:c>
      <x:c r="B17" s="13" t="inlineStr">
        <x:is>
          <x:t xml:space="preserve">S&amp;R</x:t>
        </x:is>
      </x:c>
      <x:c r="C17" s="14" t="n">
        <x:v>8</x:v>
      </x:c>
      <x:c r="D17" s="14">
        <x:f>COUNTIFS('03_Fraktionsvergleich'!B56:B199,A17,'03_Fraktionsvergleich'!C56:C199,B17,'03_Fraktionsvergleich'!J56:J199,"&gt;0")</x:f>
        <x:v>4</x:v>
      </x:c>
      <x:c r="E17" s="14">
        <x:f>COUNTIFS('03_Fraktionsvergleich'!B56:B199,A17,'03_Fraktionsvergleich'!C56:C199,B17,'03_Fraktionsvergleich'!J56:J199,"&lt;0")</x:f>
        <x:v>4</x:v>
      </x:c>
      <x:c r="F17" s="14">
        <x:f>COUNTIFS('03_Fraktionsvergleich'!B56:B199,A17,'03_Fraktionsvergleich'!C56:C199,B17,'03_Fraktionsvergleich'!J56:J199,"=0")</x:f>
        <x:v>0</x:v>
      </x:c>
      <x:c r="G17"/>
      <x:c r="H17" s="1"/>
      <x:c r="I17" s="1"/>
      <x:c r="J17" s="1"/>
      <x:c r="K17" s="1"/>
    </x:row>
    <x:row r="18" ht="22" customHeight="1">
      <x:c r="A18" s="15" t="inlineStr">
        <x:is>
          <x:t xml:space="preserve">FDP</x:t>
        </x:is>
      </x:c>
      <x:c r="B18" s="15" t="inlineStr">
        <x:is>
          <x:t xml:space="preserve">Ökologie</x:t>
        </x:is>
      </x:c>
      <x:c r="C18" s="16" t="n">
        <x:v>7</x:v>
      </x:c>
      <x:c r="D18" s="16">
        <x:f>COUNTIFS('03_Fraktionsvergleich'!B56:B199,A18,'03_Fraktionsvergleich'!C56:C199,B18,'03_Fraktionsvergleich'!J56:J199,"&gt;0")</x:f>
        <x:v>3</x:v>
      </x:c>
      <x:c r="E18" s="16">
        <x:f>COUNTIFS('03_Fraktionsvergleich'!B56:B199,A18,'03_Fraktionsvergleich'!C56:C199,B18,'03_Fraktionsvergleich'!J56:J199,"&lt;0")</x:f>
        <x:v>4</x:v>
      </x:c>
      <x:c r="F18" s="16">
        <x:f>COUNTIFS('03_Fraktionsvergleich'!B56:B199,A18,'03_Fraktionsvergleich'!C56:C199,B18,'03_Fraktionsvergleich'!J56:J199,"=0")</x:f>
        <x:v>0</x:v>
      </x:c>
      <x:c r="G18"/>
      <x:c r="H18" s="1"/>
      <x:c r="I18" s="1"/>
      <x:c r="J18" s="1"/>
      <x:c r="K18" s="1"/>
    </x:row>
    <x:row r="19" ht="22" customHeight="1">
      <x:c r="A19" s="13" t="inlineStr">
        <x:is>
          <x:t xml:space="preserve">FDP</x:t>
        </x:is>
      </x:c>
      <x:c r="B19" s="13" t="inlineStr">
        <x:is>
          <x:t xml:space="preserve">Ökonomie</x:t>
        </x:is>
      </x:c>
      <x:c r="C19" s="14" t="n">
        <x:v>7</x:v>
      </x:c>
      <x:c r="D19" s="14">
        <x:f>COUNTIFS('03_Fraktionsvergleich'!B56:B199,A19,'03_Fraktionsvergleich'!C56:C199,B19,'03_Fraktionsvergleich'!J56:J199,"&gt;0")</x:f>
        <x:v>6</x:v>
      </x:c>
      <x:c r="E19" s="14">
        <x:f>COUNTIFS('03_Fraktionsvergleich'!B56:B199,A19,'03_Fraktionsvergleich'!C56:C199,B19,'03_Fraktionsvergleich'!J56:J199,"&lt;0")</x:f>
        <x:v>1</x:v>
      </x:c>
      <x:c r="F19" s="14">
        <x:f>COUNTIFS('03_Fraktionsvergleich'!B56:B199,A19,'03_Fraktionsvergleich'!C56:C199,B19,'03_Fraktionsvergleich'!J56:J199,"=0")</x:f>
        <x:v>0</x:v>
      </x:c>
      <x:c r="G19"/>
      <x:c r="H19" s="1"/>
      <x:c r="I19" s="1"/>
      <x:c r="J19" s="1"/>
      <x:c r="K19" s="1"/>
    </x:row>
    <x:row r="20" ht="22" customHeight="1">
      <x:c r="A20" s="15" t="inlineStr">
        <x:is>
          <x:t xml:space="preserve">FDP</x:t>
        </x:is>
      </x:c>
      <x:c r="B20" s="15" t="inlineStr">
        <x:is>
          <x:t xml:space="preserve">S&amp;R</x:t>
        </x:is>
      </x:c>
      <x:c r="C20" s="16" t="n">
        <x:v>7</x:v>
      </x:c>
      <x:c r="D20" s="16">
        <x:f>COUNTIFS('03_Fraktionsvergleich'!B56:B199,A20,'03_Fraktionsvergleich'!C56:C199,B20,'03_Fraktionsvergleich'!J56:J199,"&gt;0")</x:f>
        <x:v>4</x:v>
      </x:c>
      <x:c r="E20" s="16">
        <x:f>COUNTIFS('03_Fraktionsvergleich'!B56:B199,A20,'03_Fraktionsvergleich'!C56:C199,B20,'03_Fraktionsvergleich'!J56:J199,"&lt;0")</x:f>
        <x:v>3</x:v>
      </x:c>
      <x:c r="F20" s="16">
        <x:f>COUNTIFS('03_Fraktionsvergleich'!B56:B199,A20,'03_Fraktionsvergleich'!C56:C199,B20,'03_Fraktionsvergleich'!J56:J199,"=0")</x:f>
        <x:v>0</x:v>
      </x:c>
      <x:c r="G20"/>
      <x:c r="H20" s="1"/>
      <x:c r="I20" s="1"/>
      <x:c r="J20" s="1"/>
      <x:c r="K20" s="1"/>
    </x:row>
    <x:row r="21" ht="22" customHeight="1">
      <x:c r="A21" s="13" t="inlineStr">
        <x:is>
          <x:t xml:space="preserve">AfD</x:t>
        </x:is>
      </x:c>
      <x:c r="B21" s="13" t="inlineStr">
        <x:is>
          <x:t xml:space="preserve">Ökologie</x:t>
        </x:is>
      </x:c>
      <x:c r="C21" s="14" t="n">
        <x:v>8</x:v>
      </x:c>
      <x:c r="D21" s="14">
        <x:f>COUNTIFS('03_Fraktionsvergleich'!B56:B199,A21,'03_Fraktionsvergleich'!C56:C199,B21,'03_Fraktionsvergleich'!J56:J199,"&gt;0")</x:f>
        <x:v>0</x:v>
      </x:c>
      <x:c r="E21" s="14">
        <x:f>COUNTIFS('03_Fraktionsvergleich'!B56:B199,A21,'03_Fraktionsvergleich'!C56:C199,B21,'03_Fraktionsvergleich'!J56:J199,"&lt;0")</x:f>
        <x:v>8</x:v>
      </x:c>
      <x:c r="F21" s="14">
        <x:f>COUNTIFS('03_Fraktionsvergleich'!B56:B199,A21,'03_Fraktionsvergleich'!C56:C199,B21,'03_Fraktionsvergleich'!J56:J199,"=0")</x:f>
        <x:v>0</x:v>
      </x:c>
      <x:c r="G21"/>
      <x:c r="H21" s="1"/>
      <x:c r="I21" s="1"/>
      <x:c r="J21" s="1"/>
      <x:c r="K21" s="1"/>
    </x:row>
    <x:row r="22" ht="22" customHeight="1">
      <x:c r="A22" s="15" t="inlineStr">
        <x:is>
          <x:t xml:space="preserve">AfD</x:t>
        </x:is>
      </x:c>
      <x:c r="B22" s="15" t="inlineStr">
        <x:is>
          <x:t xml:space="preserve">Ökonomie</x:t>
        </x:is>
      </x:c>
      <x:c r="C22" s="16" t="n">
        <x:v>8</x:v>
      </x:c>
      <x:c r="D22" s="16">
        <x:f>COUNTIFS('03_Fraktionsvergleich'!B56:B199,A22,'03_Fraktionsvergleich'!C56:C199,B22,'03_Fraktionsvergleich'!J56:J199,"&gt;0")</x:f>
        <x:v>8</x:v>
      </x:c>
      <x:c r="E22" s="16">
        <x:f>COUNTIFS('03_Fraktionsvergleich'!B56:B199,A22,'03_Fraktionsvergleich'!C56:C199,B22,'03_Fraktionsvergleich'!J56:J199,"&lt;0")</x:f>
        <x:v>0</x:v>
      </x:c>
      <x:c r="F22" s="16">
        <x:f>COUNTIFS('03_Fraktionsvergleich'!B56:B199,A22,'03_Fraktionsvergleich'!C56:C199,B22,'03_Fraktionsvergleich'!J56:J199,"=0")</x:f>
        <x:v>0</x:v>
      </x:c>
      <x:c r="G22"/>
      <x:c r="H22" s="1"/>
      <x:c r="I22" s="1"/>
      <x:c r="J22" s="1"/>
      <x:c r="K22" s="1"/>
    </x:row>
    <x:row r="23" ht="22" customHeight="1">
      <x:c r="A23" s="13" t="inlineStr">
        <x:is>
          <x:t xml:space="preserve">AfD</x:t>
        </x:is>
      </x:c>
      <x:c r="B23" s="13" t="inlineStr">
        <x:is>
          <x:t xml:space="preserve">S&amp;R</x:t>
        </x:is>
      </x:c>
      <x:c r="C23" s="14" t="n">
        <x:v>8</x:v>
      </x:c>
      <x:c r="D23" s="14">
        <x:f>COUNTIFS('03_Fraktionsvergleich'!B56:B199,A23,'03_Fraktionsvergleich'!C56:C199,B23,'03_Fraktionsvergleich'!J56:J199,"&gt;0")</x:f>
        <x:v>7</x:v>
      </x:c>
      <x:c r="E23" s="14">
        <x:f>COUNTIFS('03_Fraktionsvergleich'!B56:B199,A23,'03_Fraktionsvergleich'!C56:C199,B23,'03_Fraktionsvergleich'!J56:J199,"&lt;0")</x:f>
        <x:v>1</x:v>
      </x:c>
      <x:c r="F23" s="14">
        <x:f>COUNTIFS('03_Fraktionsvergleich'!B56:B199,A23,'03_Fraktionsvergleich'!C56:C199,B23,'03_Fraktionsvergleich'!J56:J199,"=0")</x:f>
        <x:v>0</x:v>
      </x:c>
      <x:c r="G23"/>
      <x:c r="H23" s="1"/>
      <x:c r="I23" s="1"/>
      <x:c r="J23" s="1"/>
      <x:c r="K23" s="1"/>
    </x:row>
    <x:row r="24" ht="22" customHeight="1">
      <x:c r="A24" s="15" t="inlineStr">
        <x:is>
          <x:t xml:space="preserve">Die Linke</x:t>
        </x:is>
      </x:c>
      <x:c r="B24" s="15" t="inlineStr">
        <x:is>
          <x:t xml:space="preserve">Ökologie</x:t>
        </x:is>
      </x:c>
      <x:c r="C24" s="16" t="n">
        <x:v>8</x:v>
      </x:c>
      <x:c r="D24" s="16">
        <x:f>COUNTIFS('03_Fraktionsvergleich'!B56:B199,A24,'03_Fraktionsvergleich'!C56:C199,B24,'03_Fraktionsvergleich'!J56:J199,"&gt;0")</x:f>
        <x:v>3</x:v>
      </x:c>
      <x:c r="E24" s="16">
        <x:f>COUNTIFS('03_Fraktionsvergleich'!B56:B199,A24,'03_Fraktionsvergleich'!C56:C199,B24,'03_Fraktionsvergleich'!J56:J199,"&lt;0")</x:f>
        <x:v>5</x:v>
      </x:c>
      <x:c r="F24" s="16">
        <x:f>COUNTIFS('03_Fraktionsvergleich'!B56:B199,A24,'03_Fraktionsvergleich'!C56:C199,B24,'03_Fraktionsvergleich'!J56:J199,"=0")</x:f>
        <x:v>0</x:v>
      </x:c>
      <x:c r="G24"/>
      <x:c r="H24" s="1"/>
      <x:c r="I24" s="1"/>
      <x:c r="J24" s="1"/>
      <x:c r="K24" s="1"/>
    </x:row>
    <x:row r="25" ht="22" customHeight="1">
      <x:c r="A25" s="13" t="inlineStr">
        <x:is>
          <x:t xml:space="preserve">Die Linke</x:t>
        </x:is>
      </x:c>
      <x:c r="B25" s="13" t="inlineStr">
        <x:is>
          <x:t xml:space="preserve">Ökonomie</x:t>
        </x:is>
      </x:c>
      <x:c r="C25" s="14" t="n">
        <x:v>8</x:v>
      </x:c>
      <x:c r="D25" s="14">
        <x:f>COUNTIFS('03_Fraktionsvergleich'!B56:B199,A25,'03_Fraktionsvergleich'!C56:C199,B25,'03_Fraktionsvergleich'!J56:J199,"&gt;0")</x:f>
        <x:v>8</x:v>
      </x:c>
      <x:c r="E25" s="14">
        <x:f>COUNTIFS('03_Fraktionsvergleich'!B56:B199,A25,'03_Fraktionsvergleich'!C56:C199,B25,'03_Fraktionsvergleich'!J56:J199,"&lt;0")</x:f>
        <x:v>0</x:v>
      </x:c>
      <x:c r="F25" s="14">
        <x:f>COUNTIFS('03_Fraktionsvergleich'!B56:B199,A25,'03_Fraktionsvergleich'!C56:C199,B25,'03_Fraktionsvergleich'!J56:J199,"=0")</x:f>
        <x:v>0</x:v>
      </x:c>
      <x:c r="G25"/>
      <x:c r="H25" s="1"/>
      <x:c r="I25" s="1"/>
      <x:c r="J25" s="1"/>
      <x:c r="K25" s="1"/>
    </x:row>
    <x:row r="26" ht="22" customHeight="1">
      <x:c r="A26" s="34" t="inlineStr">
        <x:is>
          <x:t xml:space="preserve">Die Linke</x:t>
        </x:is>
      </x:c>
      <x:c r="B26" s="34" t="inlineStr">
        <x:is>
          <x:t xml:space="preserve">S&amp;R</x:t>
        </x:is>
      </x:c>
      <x:c r="C26" s="35" t="n">
        <x:v>8</x:v>
      </x:c>
      <x:c r="D26" s="35">
        <x:f>COUNTIFS('03_Fraktionsvergleich'!B56:B199,A26,'03_Fraktionsvergleich'!C56:C199,B26,'03_Fraktionsvergleich'!J56:J199,"&gt;0")</x:f>
        <x:v>1</x:v>
      </x:c>
      <x:c r="E26" s="35">
        <x:f>COUNTIFS('03_Fraktionsvergleich'!B56:B199,A26,'03_Fraktionsvergleich'!C56:C199,B26,'03_Fraktionsvergleich'!J56:J199,"&lt;0")</x:f>
        <x:v>7</x:v>
      </x:c>
      <x:c r="F26" s="35">
        <x:f>COUNTIFS('03_Fraktionsvergleich'!B56:B199,A26,'03_Fraktionsvergleich'!C56:C199,B26,'03_Fraktionsvergleich'!J56:J199,"=0")</x:f>
        <x:v>0</x:v>
      </x:c>
      <x:c r="G26"/>
      <x:c r="H26" s="1"/>
      <x:c r="I26" s="1"/>
      <x:c r="J26" s="1"/>
      <x:c r="K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6" customHeight="1">
      <x:c r="A29" s="10" t="inlineStr">
        <x:is>
          <x:t xml:space="preserve">Gleichrichtung an den Jahresübergängen</x:t>
        </x:is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54" customHeight="1">
      <x:c r="A30" s="11" t="inlineStr">
        <x:is>
          <x:t xml:space="preserve">Übergang</x:t>
        </x:is>
      </x:c>
      <x:c r="B30" s="20" t="inlineStr">
        <x:is>
          <x:t xml:space="preserve">Dimension</x:t>
        </x:is>
      </x:c>
      <x:c r="C30" s="20" t="inlineStr">
        <x:is>
          <x:t xml:space="preserve">Vergleichbare Fraktionen</x:t>
        </x:is>
      </x:c>
      <x:c r="D30" s="20" t="inlineStr">
        <x:is>
          <x:t xml:space="preserve">Anstieg</x:t>
        </x:is>
      </x:c>
      <x:c r="E30" s="20" t="inlineStr">
        <x:is>
          <x:t xml:space="preserve">Rückgang</x:t>
        </x:is>
      </x:c>
      <x:c r="F30" s="20" t="inlineStr">
        <x:is>
          <x:t xml:space="preserve">Unverändert</x:t>
        </x:is>
      </x:c>
      <x:c r="G30" s="12" t="inlineStr">
        <x:is>
          <x:t xml:space="preserve">Gleiche Richtung</x:t>
        </x:is>
      </x:c>
      <x:c r="H30" s="1"/>
      <x:c r="I30" s="1"/>
      <x:c r="J30" s="1"/>
      <x:c r="K30" s="1"/>
    </x:row>
    <x:row r="31" ht="22" customHeight="1">
      <x:c r="A31" s="13" t="inlineStr">
        <x:is>
          <x:t xml:space="preserve">2018/2019</x:t>
        </x:is>
      </x:c>
      <x:c r="B31" s="13" t="inlineStr">
        <x:is>
          <x:t xml:space="preserve">Ökologie</x:t>
        </x:is>
      </x:c>
      <x:c r="C31" s="14" t="n">
        <x:v>6</x:v>
      </x:c>
      <x:c r="D31" s="14">
        <x:f>COUNTIFS('03_Fraktionsvergleich'!A204:A329,A31,'03_Fraktionsvergleich'!C204:C329,B31,'03_Fraktionsvergleich'!H204:H329,"&gt;0")</x:f>
        <x:v>2</x:v>
      </x:c>
      <x:c r="E31" s="14">
        <x:f>COUNTIFS('03_Fraktionsvergleich'!A204:A329,A31,'03_Fraktionsvergleich'!C204:C329,B31,'03_Fraktionsvergleich'!H204:H329,"&lt;0")</x:f>
        <x:v>4</x:v>
      </x:c>
      <x:c r="F31" s="14">
        <x:f>COUNTIFS('03_Fraktionsvergleich'!A204:A329,A31,'03_Fraktionsvergleich'!C204:C329,B31,'03_Fraktionsvergleich'!H204:H329,"=0")</x:f>
        <x:v>0</x:v>
      </x:c>
      <x:c r="G31" s="21" t="str">
        <x:f>IF(OR(D31=C31,E31=C31,F31=C31),"Ja","Nein")</x:f>
        <x:v>Nein</x:v>
      </x:c>
      <x:c r="H31" s="1"/>
      <x:c r="I31" s="1"/>
      <x:c r="J31" s="1"/>
      <x:c r="K31" s="1"/>
    </x:row>
    <x:row r="32" ht="22" customHeight="1">
      <x:c r="A32" s="15" t="inlineStr">
        <x:is>
          <x:t xml:space="preserve">2018/2019</x:t>
        </x:is>
      </x:c>
      <x:c r="B32" s="15" t="inlineStr">
        <x:is>
          <x:t xml:space="preserve">Ökonomie</x:t>
        </x:is>
      </x:c>
      <x:c r="C32" s="16" t="n">
        <x:v>6</x:v>
      </x:c>
      <x:c r="D32" s="16">
        <x:f>COUNTIFS('03_Fraktionsvergleich'!A204:A329,A32,'03_Fraktionsvergleich'!C204:C329,B32,'03_Fraktionsvergleich'!H204:H329,"&gt;0")</x:f>
        <x:v>1</x:v>
      </x:c>
      <x:c r="E32" s="16">
        <x:f>COUNTIFS('03_Fraktionsvergleich'!A204:A329,A32,'03_Fraktionsvergleich'!C204:C329,B32,'03_Fraktionsvergleich'!H204:H329,"&lt;0")</x:f>
        <x:v>5</x:v>
      </x:c>
      <x:c r="F32" s="16">
        <x:f>COUNTIFS('03_Fraktionsvergleich'!A204:A329,A32,'03_Fraktionsvergleich'!C204:C329,B32,'03_Fraktionsvergleich'!H204:H329,"=0")</x:f>
        <x:v>0</x:v>
      </x:c>
      <x:c r="G32" s="24" t="str">
        <x:f>IF(OR(D32=C32,E32=C32,F32=C32),"Ja","Nein")</x:f>
        <x:v>Nein</x:v>
      </x:c>
      <x:c r="H32" s="1"/>
      <x:c r="I32" s="1"/>
      <x:c r="J32" s="1"/>
      <x:c r="K32" s="1"/>
    </x:row>
    <x:row r="33" ht="22" customHeight="1">
      <x:c r="A33" s="13" t="inlineStr">
        <x:is>
          <x:t xml:space="preserve">2018/2019</x:t>
        </x:is>
      </x:c>
      <x:c r="B33" s="13" t="inlineStr">
        <x:is>
          <x:t xml:space="preserve">S&amp;R</x:t>
        </x:is>
      </x:c>
      <x:c r="C33" s="14" t="n">
        <x:v>6</x:v>
      </x:c>
      <x:c r="D33" s="14">
        <x:f>COUNTIFS('03_Fraktionsvergleich'!A204:A329,A33,'03_Fraktionsvergleich'!C204:C329,B33,'03_Fraktionsvergleich'!H204:H329,"&gt;0")</x:f>
        <x:v>5</x:v>
      </x:c>
      <x:c r="E33" s="14">
        <x:f>COUNTIFS('03_Fraktionsvergleich'!A204:A329,A33,'03_Fraktionsvergleich'!C204:C329,B33,'03_Fraktionsvergleich'!H204:H329,"&lt;0")</x:f>
        <x:v>1</x:v>
      </x:c>
      <x:c r="F33" s="14">
        <x:f>COUNTIFS('03_Fraktionsvergleich'!A204:A329,A33,'03_Fraktionsvergleich'!C204:C329,B33,'03_Fraktionsvergleich'!H204:H329,"=0")</x:f>
        <x:v>0</x:v>
      </x:c>
      <x:c r="G33" s="21" t="str">
        <x:f>IF(OR(D33=C33,E33=C33,F33=C33),"Ja","Nein")</x:f>
        <x:v>Nein</x:v>
      </x:c>
      <x:c r="H33" s="1"/>
      <x:c r="I33" s="1"/>
      <x:c r="J33" s="1"/>
      <x:c r="K33" s="1"/>
    </x:row>
    <x:row r="34" ht="22" customHeight="1">
      <x:c r="A34" s="15" t="inlineStr">
        <x:is>
          <x:t xml:space="preserve">2019/2020</x:t>
        </x:is>
      </x:c>
      <x:c r="B34" s="15" t="inlineStr">
        <x:is>
          <x:t xml:space="preserve">Ökologie</x:t>
        </x:is>
      </x:c>
      <x:c r="C34" s="16" t="n">
        <x:v>6</x:v>
      </x:c>
      <x:c r="D34" s="16">
        <x:f>COUNTIFS('03_Fraktionsvergleich'!A204:A329,A34,'03_Fraktionsvergleich'!C204:C329,B34,'03_Fraktionsvergleich'!H204:H329,"&gt;0")</x:f>
        <x:v>0</x:v>
      </x:c>
      <x:c r="E34" s="16">
        <x:f>COUNTIFS('03_Fraktionsvergleich'!A204:A329,A34,'03_Fraktionsvergleich'!C204:C329,B34,'03_Fraktionsvergleich'!H204:H329,"&lt;0")</x:f>
        <x:v>6</x:v>
      </x:c>
      <x:c r="F34" s="16">
        <x:f>COUNTIFS('03_Fraktionsvergleich'!A204:A329,A34,'03_Fraktionsvergleich'!C204:C329,B34,'03_Fraktionsvergleich'!H204:H329,"=0")</x:f>
        <x:v>0</x:v>
      </x:c>
      <x:c r="G34" s="24" t="str">
        <x:f>IF(OR(D34=C34,E34=C34,F34=C34),"Ja","Nein")</x:f>
        <x:v>Ja</x:v>
      </x:c>
      <x:c r="H34" s="1"/>
      <x:c r="I34" s="1"/>
      <x:c r="J34" s="1"/>
      <x:c r="K34" s="1"/>
    </x:row>
    <x:row r="35" ht="22" customHeight="1">
      <x:c r="A35" s="13" t="inlineStr">
        <x:is>
          <x:t xml:space="preserve">2019/2020</x:t>
        </x:is>
      </x:c>
      <x:c r="B35" s="13" t="inlineStr">
        <x:is>
          <x:t xml:space="preserve">Ökonomie</x:t>
        </x:is>
      </x:c>
      <x:c r="C35" s="14" t="n">
        <x:v>6</x:v>
      </x:c>
      <x:c r="D35" s="14">
        <x:f>COUNTIFS('03_Fraktionsvergleich'!A204:A329,A35,'03_Fraktionsvergleich'!C204:C329,B35,'03_Fraktionsvergleich'!H204:H329,"&gt;0")</x:f>
        <x:v>4</x:v>
      </x:c>
      <x:c r="E35" s="14">
        <x:f>COUNTIFS('03_Fraktionsvergleich'!A204:A329,A35,'03_Fraktionsvergleich'!C204:C329,B35,'03_Fraktionsvergleich'!H204:H329,"&lt;0")</x:f>
        <x:v>2</x:v>
      </x:c>
      <x:c r="F35" s="14">
        <x:f>COUNTIFS('03_Fraktionsvergleich'!A204:A329,A35,'03_Fraktionsvergleich'!C204:C329,B35,'03_Fraktionsvergleich'!H204:H329,"=0")</x:f>
        <x:v>0</x:v>
      </x:c>
      <x:c r="G35" s="21" t="str">
        <x:f>IF(OR(D35=C35,E35=C35,F35=C35),"Ja","Nein")</x:f>
        <x:v>Nein</x:v>
      </x:c>
      <x:c r="H35" s="1"/>
      <x:c r="I35" s="1"/>
      <x:c r="J35" s="1"/>
      <x:c r="K35" s="1"/>
    </x:row>
    <x:row r="36" ht="22" customHeight="1">
      <x:c r="A36" s="15" t="inlineStr">
        <x:is>
          <x:t xml:space="preserve">2019/2020</x:t>
        </x:is>
      </x:c>
      <x:c r="B36" s="15" t="inlineStr">
        <x:is>
          <x:t xml:space="preserve">S&amp;R</x:t>
        </x:is>
      </x:c>
      <x:c r="C36" s="16" t="n">
        <x:v>6</x:v>
      </x:c>
      <x:c r="D36" s="16">
        <x:f>COUNTIFS('03_Fraktionsvergleich'!A204:A329,A36,'03_Fraktionsvergleich'!C204:C329,B36,'03_Fraktionsvergleich'!H204:H329,"&gt;0")</x:f>
        <x:v>5</x:v>
      </x:c>
      <x:c r="E36" s="16">
        <x:f>COUNTIFS('03_Fraktionsvergleich'!A204:A329,A36,'03_Fraktionsvergleich'!C204:C329,B36,'03_Fraktionsvergleich'!H204:H329,"&lt;0")</x:f>
        <x:v>1</x:v>
      </x:c>
      <x:c r="F36" s="16">
        <x:f>COUNTIFS('03_Fraktionsvergleich'!A204:A329,A36,'03_Fraktionsvergleich'!C204:C329,B36,'03_Fraktionsvergleich'!H204:H329,"=0")</x:f>
        <x:v>0</x:v>
      </x:c>
      <x:c r="G36" s="24" t="str">
        <x:f>IF(OR(D36=C36,E36=C36,F36=C36),"Ja","Nein")</x:f>
        <x:v>Nein</x:v>
      </x:c>
      <x:c r="H36" s="1"/>
      <x:c r="I36" s="1"/>
      <x:c r="J36" s="1"/>
      <x:c r="K36" s="1"/>
    </x:row>
    <x:row r="37" ht="22" customHeight="1">
      <x:c r="A37" s="13" t="inlineStr">
        <x:is>
          <x:t xml:space="preserve">2020/2021</x:t>
        </x:is>
      </x:c>
      <x:c r="B37" s="13" t="inlineStr">
        <x:is>
          <x:t xml:space="preserve">Ökologie</x:t>
        </x:is>
      </x:c>
      <x:c r="C37" s="14" t="n">
        <x:v>6</x:v>
      </x:c>
      <x:c r="D37" s="14">
        <x:f>COUNTIFS('03_Fraktionsvergleich'!A204:A329,A37,'03_Fraktionsvergleich'!C204:C329,B37,'03_Fraktionsvergleich'!H204:H329,"&gt;0")</x:f>
        <x:v>5</x:v>
      </x:c>
      <x:c r="E37" s="14">
        <x:f>COUNTIFS('03_Fraktionsvergleich'!A204:A329,A37,'03_Fraktionsvergleich'!C204:C329,B37,'03_Fraktionsvergleich'!H204:H329,"&lt;0")</x:f>
        <x:v>1</x:v>
      </x:c>
      <x:c r="F37" s="14">
        <x:f>COUNTIFS('03_Fraktionsvergleich'!A204:A329,A37,'03_Fraktionsvergleich'!C204:C329,B37,'03_Fraktionsvergleich'!H204:H329,"=0")</x:f>
        <x:v>0</x:v>
      </x:c>
      <x:c r="G37" s="21" t="str">
        <x:f>IF(OR(D37=C37,E37=C37,F37=C37),"Ja","Nein")</x:f>
        <x:v>Nein</x:v>
      </x:c>
      <x:c r="H37" s="1"/>
      <x:c r="I37" s="1"/>
      <x:c r="J37" s="1"/>
      <x:c r="K37" s="1"/>
    </x:row>
    <x:row r="38" ht="22" customHeight="1">
      <x:c r="A38" s="15" t="inlineStr">
        <x:is>
          <x:t xml:space="preserve">2020/2021</x:t>
        </x:is>
      </x:c>
      <x:c r="B38" s="15" t="inlineStr">
        <x:is>
          <x:t xml:space="preserve">Ökonomie</x:t>
        </x:is>
      </x:c>
      <x:c r="C38" s="16" t="n">
        <x:v>6</x:v>
      </x:c>
      <x:c r="D38" s="16">
        <x:f>COUNTIFS('03_Fraktionsvergleich'!A204:A329,A38,'03_Fraktionsvergleich'!C204:C329,B38,'03_Fraktionsvergleich'!H204:H329,"&gt;0")</x:f>
        <x:v>6</x:v>
      </x:c>
      <x:c r="E38" s="16">
        <x:f>COUNTIFS('03_Fraktionsvergleich'!A204:A329,A38,'03_Fraktionsvergleich'!C204:C329,B38,'03_Fraktionsvergleich'!H204:H329,"&lt;0")</x:f>
        <x:v>0</x:v>
      </x:c>
      <x:c r="F38" s="16">
        <x:f>COUNTIFS('03_Fraktionsvergleich'!A204:A329,A38,'03_Fraktionsvergleich'!C204:C329,B38,'03_Fraktionsvergleich'!H204:H329,"=0")</x:f>
        <x:v>0</x:v>
      </x:c>
      <x:c r="G38" s="24" t="str">
        <x:f>IF(OR(D38=C38,E38=C38,F38=C38),"Ja","Nein")</x:f>
        <x:v>Ja</x:v>
      </x:c>
      <x:c r="H38" s="1"/>
      <x:c r="I38" s="1"/>
      <x:c r="J38" s="1"/>
      <x:c r="K38" s="1"/>
    </x:row>
    <x:row r="39" ht="22" customHeight="1">
      <x:c r="A39" s="13" t="inlineStr">
        <x:is>
          <x:t xml:space="preserve">2020/2021</x:t>
        </x:is>
      </x:c>
      <x:c r="B39" s="13" t="inlineStr">
        <x:is>
          <x:t xml:space="preserve">S&amp;R</x:t>
        </x:is>
      </x:c>
      <x:c r="C39" s="14" t="n">
        <x:v>6</x:v>
      </x:c>
      <x:c r="D39" s="14">
        <x:f>COUNTIFS('03_Fraktionsvergleich'!A204:A329,A39,'03_Fraktionsvergleich'!C204:C329,B39,'03_Fraktionsvergleich'!H204:H329,"&gt;0")</x:f>
        <x:v>1</x:v>
      </x:c>
      <x:c r="E39" s="14">
        <x:f>COUNTIFS('03_Fraktionsvergleich'!A204:A329,A39,'03_Fraktionsvergleich'!C204:C329,B39,'03_Fraktionsvergleich'!H204:H329,"&lt;0")</x:f>
        <x:v>5</x:v>
      </x:c>
      <x:c r="F39" s="14">
        <x:f>COUNTIFS('03_Fraktionsvergleich'!A204:A329,A39,'03_Fraktionsvergleich'!C204:C329,B39,'03_Fraktionsvergleich'!H204:H329,"=0")</x:f>
        <x:v>0</x:v>
      </x:c>
      <x:c r="G39" s="21" t="str">
        <x:f>IF(OR(D39=C39,E39=C39,F39=C39),"Ja","Nein")</x:f>
        <x:v>Nein</x:v>
      </x:c>
      <x:c r="H39" s="1"/>
      <x:c r="I39" s="1"/>
      <x:c r="J39" s="1"/>
      <x:c r="K39" s="1"/>
    </x:row>
    <x:row r="40" ht="22" customHeight="1">
      <x:c r="A40" s="15" t="inlineStr">
        <x:is>
          <x:t xml:space="preserve">2021/2022</x:t>
        </x:is>
      </x:c>
      <x:c r="B40" s="15" t="inlineStr">
        <x:is>
          <x:t xml:space="preserve">Ökologie</x:t>
        </x:is>
      </x:c>
      <x:c r="C40" s="16" t="n">
        <x:v>6</x:v>
      </x:c>
      <x:c r="D40" s="16">
        <x:f>COUNTIFS('03_Fraktionsvergleich'!A204:A329,A40,'03_Fraktionsvergleich'!C204:C329,B40,'03_Fraktionsvergleich'!H204:H329,"&gt;0")</x:f>
        <x:v>0</x:v>
      </x:c>
      <x:c r="E40" s="16">
        <x:f>COUNTIFS('03_Fraktionsvergleich'!A204:A329,A40,'03_Fraktionsvergleich'!C204:C329,B40,'03_Fraktionsvergleich'!H204:H329,"&lt;0")</x:f>
        <x:v>6</x:v>
      </x:c>
      <x:c r="F40" s="16">
        <x:f>COUNTIFS('03_Fraktionsvergleich'!A204:A329,A40,'03_Fraktionsvergleich'!C204:C329,B40,'03_Fraktionsvergleich'!H204:H329,"=0")</x:f>
        <x:v>0</x:v>
      </x:c>
      <x:c r="G40" s="24" t="str">
        <x:f>IF(OR(D40=C40,E40=C40,F40=C40),"Ja","Nein")</x:f>
        <x:v>Ja</x:v>
      </x:c>
      <x:c r="H40" s="1"/>
      <x:c r="I40" s="1"/>
      <x:c r="J40" s="1"/>
      <x:c r="K40" s="1"/>
    </x:row>
    <x:row r="41" ht="22" customHeight="1">
      <x:c r="A41" s="13" t="inlineStr">
        <x:is>
          <x:t xml:space="preserve">2021/2022</x:t>
        </x:is>
      </x:c>
      <x:c r="B41" s="13" t="inlineStr">
        <x:is>
          <x:t xml:space="preserve">Ökonomie</x:t>
        </x:is>
      </x:c>
      <x:c r="C41" s="14" t="n">
        <x:v>6</x:v>
      </x:c>
      <x:c r="D41" s="14">
        <x:f>COUNTIFS('03_Fraktionsvergleich'!A204:A329,A41,'03_Fraktionsvergleich'!C204:C329,B41,'03_Fraktionsvergleich'!H204:H329,"&gt;0")</x:f>
        <x:v>6</x:v>
      </x:c>
      <x:c r="E41" s="14">
        <x:f>COUNTIFS('03_Fraktionsvergleich'!A204:A329,A41,'03_Fraktionsvergleich'!C204:C329,B41,'03_Fraktionsvergleich'!H204:H329,"&lt;0")</x:f>
        <x:v>0</x:v>
      </x:c>
      <x:c r="F41" s="14">
        <x:f>COUNTIFS('03_Fraktionsvergleich'!A204:A329,A41,'03_Fraktionsvergleich'!C204:C329,B41,'03_Fraktionsvergleich'!H204:H329,"=0")</x:f>
        <x:v>0</x:v>
      </x:c>
      <x:c r="G41" s="21" t="str">
        <x:f>IF(OR(D41=C41,E41=C41,F41=C41),"Ja","Nein")</x:f>
        <x:v>Ja</x:v>
      </x:c>
      <x:c r="H41" s="1"/>
      <x:c r="I41" s="1"/>
      <x:c r="J41" s="1"/>
      <x:c r="K41" s="1"/>
    </x:row>
    <x:row r="42" ht="22" customHeight="1">
      <x:c r="A42" s="15" t="inlineStr">
        <x:is>
          <x:t xml:space="preserve">2021/2022</x:t>
        </x:is>
      </x:c>
      <x:c r="B42" s="15" t="inlineStr">
        <x:is>
          <x:t xml:space="preserve">S&amp;R</x:t>
        </x:is>
      </x:c>
      <x:c r="C42" s="16" t="n">
        <x:v>6</x:v>
      </x:c>
      <x:c r="D42" s="16">
        <x:f>COUNTIFS('03_Fraktionsvergleich'!A204:A329,A42,'03_Fraktionsvergleich'!C204:C329,B42,'03_Fraktionsvergleich'!H204:H329,"&gt;0")</x:f>
        <x:v>6</x:v>
      </x:c>
      <x:c r="E42" s="16">
        <x:f>COUNTIFS('03_Fraktionsvergleich'!A204:A329,A42,'03_Fraktionsvergleich'!C204:C329,B42,'03_Fraktionsvergleich'!H204:H329,"&lt;0")</x:f>
        <x:v>0</x:v>
      </x:c>
      <x:c r="F42" s="16">
        <x:f>COUNTIFS('03_Fraktionsvergleich'!A204:A329,A42,'03_Fraktionsvergleich'!C204:C329,B42,'03_Fraktionsvergleich'!H204:H329,"=0")</x:f>
        <x:v>0</x:v>
      </x:c>
      <x:c r="G42" s="24" t="str">
        <x:f>IF(OR(D42=C42,E42=C42,F42=C42),"Ja","Nein")</x:f>
        <x:v>Ja</x:v>
      </x:c>
      <x:c r="H42" s="1"/>
      <x:c r="I42" s="1"/>
      <x:c r="J42" s="1"/>
      <x:c r="K42" s="1"/>
    </x:row>
    <x:row r="43" ht="22" customHeight="1">
      <x:c r="A43" s="13" t="inlineStr">
        <x:is>
          <x:t xml:space="preserve">2022/2023</x:t>
        </x:is>
      </x:c>
      <x:c r="B43" s="13" t="inlineStr">
        <x:is>
          <x:t xml:space="preserve">Ökologie</x:t>
        </x:is>
      </x:c>
      <x:c r="C43" s="14" t="n">
        <x:v>6</x:v>
      </x:c>
      <x:c r="D43" s="14">
        <x:f>COUNTIFS('03_Fraktionsvergleich'!A204:A329,A43,'03_Fraktionsvergleich'!C204:C329,B43,'03_Fraktionsvergleich'!H204:H329,"&gt;0")</x:f>
        <x:v>6</x:v>
      </x:c>
      <x:c r="E43" s="14">
        <x:f>COUNTIFS('03_Fraktionsvergleich'!A204:A329,A43,'03_Fraktionsvergleich'!C204:C329,B43,'03_Fraktionsvergleich'!H204:H329,"&lt;0")</x:f>
        <x:v>0</x:v>
      </x:c>
      <x:c r="F43" s="14">
        <x:f>COUNTIFS('03_Fraktionsvergleich'!A204:A329,A43,'03_Fraktionsvergleich'!C204:C329,B43,'03_Fraktionsvergleich'!H204:H329,"=0")</x:f>
        <x:v>0</x:v>
      </x:c>
      <x:c r="G43" s="21" t="str">
        <x:f>IF(OR(D43=C43,E43=C43,F43=C43),"Ja","Nein")</x:f>
        <x:v>Ja</x:v>
      </x:c>
      <x:c r="H43" s="1"/>
      <x:c r="I43" s="1"/>
      <x:c r="J43" s="1"/>
      <x:c r="K43" s="1"/>
    </x:row>
    <x:row r="44" ht="22" customHeight="1">
      <x:c r="A44" s="15" t="inlineStr">
        <x:is>
          <x:t xml:space="preserve">2022/2023</x:t>
        </x:is>
      </x:c>
      <x:c r="B44" s="15" t="inlineStr">
        <x:is>
          <x:t xml:space="preserve">Ökonomie</x:t>
        </x:is>
      </x:c>
      <x:c r="C44" s="16" t="n">
        <x:v>6</x:v>
      </x:c>
      <x:c r="D44" s="16">
        <x:f>COUNTIFS('03_Fraktionsvergleich'!A204:A329,A44,'03_Fraktionsvergleich'!C204:C329,B44,'03_Fraktionsvergleich'!H204:H329,"&gt;0")</x:f>
        <x:v>0</x:v>
      </x:c>
      <x:c r="E44" s="16">
        <x:f>COUNTIFS('03_Fraktionsvergleich'!A204:A329,A44,'03_Fraktionsvergleich'!C204:C329,B44,'03_Fraktionsvergleich'!H204:H329,"&lt;0")</x:f>
        <x:v>6</x:v>
      </x:c>
      <x:c r="F44" s="16">
        <x:f>COUNTIFS('03_Fraktionsvergleich'!A204:A329,A44,'03_Fraktionsvergleich'!C204:C329,B44,'03_Fraktionsvergleich'!H204:H329,"=0")</x:f>
        <x:v>0</x:v>
      </x:c>
      <x:c r="G44" s="24" t="str">
        <x:f>IF(OR(D44=C44,E44=C44,F44=C44),"Ja","Nein")</x:f>
        <x:v>Ja</x:v>
      </x:c>
      <x:c r="H44" s="1"/>
      <x:c r="I44" s="1"/>
      <x:c r="J44" s="1"/>
      <x:c r="K44" s="1"/>
    </x:row>
    <x:row r="45" ht="22" customHeight="1">
      <x:c r="A45" s="13" t="inlineStr">
        <x:is>
          <x:t xml:space="preserve">2022/2023</x:t>
        </x:is>
      </x:c>
      <x:c r="B45" s="13" t="inlineStr">
        <x:is>
          <x:t xml:space="preserve">S&amp;R</x:t>
        </x:is>
      </x:c>
      <x:c r="C45" s="14" t="n">
        <x:v>6</x:v>
      </x:c>
      <x:c r="D45" s="14">
        <x:f>COUNTIFS('03_Fraktionsvergleich'!A204:A329,A45,'03_Fraktionsvergleich'!C204:C329,B45,'03_Fraktionsvergleich'!H204:H329,"&gt;0")</x:f>
        <x:v>0</x:v>
      </x:c>
      <x:c r="E45" s="14">
        <x:f>COUNTIFS('03_Fraktionsvergleich'!A204:A329,A45,'03_Fraktionsvergleich'!C204:C329,B45,'03_Fraktionsvergleich'!H204:H329,"&lt;0")</x:f>
        <x:v>6</x:v>
      </x:c>
      <x:c r="F45" s="14">
        <x:f>COUNTIFS('03_Fraktionsvergleich'!A204:A329,A45,'03_Fraktionsvergleich'!C204:C329,B45,'03_Fraktionsvergleich'!H204:H329,"=0")</x:f>
        <x:v>0</x:v>
      </x:c>
      <x:c r="G45" s="21" t="str">
        <x:f>IF(OR(D45=C45,E45=C45,F45=C45),"Ja","Nein")</x:f>
        <x:v>Ja</x:v>
      </x:c>
      <x:c r="H45" s="1"/>
      <x:c r="I45" s="1"/>
      <x:c r="J45" s="1"/>
      <x:c r="K45" s="1"/>
    </x:row>
    <x:row r="46" ht="22" customHeight="1">
      <x:c r="A46" s="15" t="inlineStr">
        <x:is>
          <x:t xml:space="preserve">2023/2024</x:t>
        </x:is>
      </x:c>
      <x:c r="B46" s="15" t="inlineStr">
        <x:is>
          <x:t xml:space="preserve">Ökologie</x:t>
        </x:is>
      </x:c>
      <x:c r="C46" s="16" t="n">
        <x:v>6</x:v>
      </x:c>
      <x:c r="D46" s="16">
        <x:f>COUNTIFS('03_Fraktionsvergleich'!A204:A329,A46,'03_Fraktionsvergleich'!C204:C329,B46,'03_Fraktionsvergleich'!H204:H329,"&gt;0")</x:f>
        <x:v>0</x:v>
      </x:c>
      <x:c r="E46" s="16">
        <x:f>COUNTIFS('03_Fraktionsvergleich'!A204:A329,A46,'03_Fraktionsvergleich'!C204:C329,B46,'03_Fraktionsvergleich'!H204:H329,"&lt;0")</x:f>
        <x:v>6</x:v>
      </x:c>
      <x:c r="F46" s="16">
        <x:f>COUNTIFS('03_Fraktionsvergleich'!A204:A329,A46,'03_Fraktionsvergleich'!C204:C329,B46,'03_Fraktionsvergleich'!H204:H329,"=0")</x:f>
        <x:v>0</x:v>
      </x:c>
      <x:c r="G46" s="24" t="str">
        <x:f>IF(OR(D46=C46,E46=C46,F46=C46),"Ja","Nein")</x:f>
        <x:v>Ja</x:v>
      </x:c>
      <x:c r="H46" s="1"/>
      <x:c r="I46" s="1"/>
      <x:c r="J46" s="1"/>
      <x:c r="K46" s="1"/>
    </x:row>
    <x:row r="47" ht="22" customHeight="1">
      <x:c r="A47" s="13" t="inlineStr">
        <x:is>
          <x:t xml:space="preserve">2023/2024</x:t>
        </x:is>
      </x:c>
      <x:c r="B47" s="13" t="inlineStr">
        <x:is>
          <x:t xml:space="preserve">Ökonomie</x:t>
        </x:is>
      </x:c>
      <x:c r="C47" s="14" t="n">
        <x:v>6</x:v>
      </x:c>
      <x:c r="D47" s="14">
        <x:f>COUNTIFS('03_Fraktionsvergleich'!A204:A329,A47,'03_Fraktionsvergleich'!C204:C329,B47,'03_Fraktionsvergleich'!H204:H329,"&gt;0")</x:f>
        <x:v>6</x:v>
      </x:c>
      <x:c r="E47" s="14">
        <x:f>COUNTIFS('03_Fraktionsvergleich'!A204:A329,A47,'03_Fraktionsvergleich'!C204:C329,B47,'03_Fraktionsvergleich'!H204:H329,"&lt;0")</x:f>
        <x:v>0</x:v>
      </x:c>
      <x:c r="F47" s="14">
        <x:f>COUNTIFS('03_Fraktionsvergleich'!A204:A329,A47,'03_Fraktionsvergleich'!C204:C329,B47,'03_Fraktionsvergleich'!H204:H329,"=0")</x:f>
        <x:v>0</x:v>
      </x:c>
      <x:c r="G47" s="21" t="str">
        <x:f>IF(OR(D47=C47,E47=C47,F47=C47),"Ja","Nein")</x:f>
        <x:v>Ja</x:v>
      </x:c>
      <x:c r="H47" s="1"/>
      <x:c r="I47" s="1"/>
      <x:c r="J47" s="1"/>
      <x:c r="K47" s="1"/>
    </x:row>
    <x:row r="48" ht="22" customHeight="1">
      <x:c r="A48" s="15" t="inlineStr">
        <x:is>
          <x:t xml:space="preserve">2023/2024</x:t>
        </x:is>
      </x:c>
      <x:c r="B48" s="15" t="inlineStr">
        <x:is>
          <x:t xml:space="preserve">S&amp;R</x:t>
        </x:is>
      </x:c>
      <x:c r="C48" s="16" t="n">
        <x:v>6</x:v>
      </x:c>
      <x:c r="D48" s="16">
        <x:f>COUNTIFS('03_Fraktionsvergleich'!A204:A329,A48,'03_Fraktionsvergleich'!C204:C329,B48,'03_Fraktionsvergleich'!H204:H329,"&gt;0")</x:f>
        <x:v>0</x:v>
      </x:c>
      <x:c r="E48" s="16">
        <x:f>COUNTIFS('03_Fraktionsvergleich'!A204:A329,A48,'03_Fraktionsvergleich'!C204:C329,B48,'03_Fraktionsvergleich'!H204:H329,"&lt;0")</x:f>
        <x:v>6</x:v>
      </x:c>
      <x:c r="F48" s="16">
        <x:f>COUNTIFS('03_Fraktionsvergleich'!A204:A329,A48,'03_Fraktionsvergleich'!C204:C329,B48,'03_Fraktionsvergleich'!H204:H329,"=0")</x:f>
        <x:v>0</x:v>
      </x:c>
      <x:c r="G48" s="24" t="str">
        <x:f>IF(OR(D48=C48,E48=C48,F48=C48),"Ja","Nein")</x:f>
        <x:v>Ja</x:v>
      </x:c>
      <x:c r="H48" s="1"/>
      <x:c r="I48" s="1"/>
      <x:c r="J48" s="1"/>
      <x:c r="K48" s="1"/>
    </x:row>
    <x:row r="49" ht="22" customHeight="1">
      <x:c r="A49" s="13" t="inlineStr">
        <x:is>
          <x:t xml:space="preserve">2024/2025</x:t>
        </x:is>
      </x:c>
      <x:c r="B49" s="13" t="inlineStr">
        <x:is>
          <x:t xml:space="preserve">Ökologie</x:t>
        </x:is>
      </x:c>
      <x:c r="C49" s="14" t="n">
        <x:v>5</x:v>
      </x:c>
      <x:c r="D49" s="14">
        <x:f>COUNTIFS('03_Fraktionsvergleich'!A204:A329,A49,'03_Fraktionsvergleich'!C204:C329,B49,'03_Fraktionsvergleich'!H204:H329,"&gt;0")</x:f>
        <x:v>5</x:v>
      </x:c>
      <x:c r="E49" s="14">
        <x:f>COUNTIFS('03_Fraktionsvergleich'!A204:A329,A49,'03_Fraktionsvergleich'!C204:C329,B49,'03_Fraktionsvergleich'!H204:H329,"&lt;0")</x:f>
        <x:v>0</x:v>
      </x:c>
      <x:c r="F49" s="14">
        <x:f>COUNTIFS('03_Fraktionsvergleich'!A204:A329,A49,'03_Fraktionsvergleich'!C204:C329,B49,'03_Fraktionsvergleich'!H204:H329,"=0")</x:f>
        <x:v>0</x:v>
      </x:c>
      <x:c r="G49" s="21" t="str">
        <x:f>IF(OR(D49=C49,E49=C49,F49=C49),"Ja","Nein")</x:f>
        <x:v>Ja</x:v>
      </x:c>
      <x:c r="H49" s="1"/>
      <x:c r="I49" s="1"/>
      <x:c r="J49" s="1"/>
      <x:c r="K49" s="1"/>
    </x:row>
    <x:row r="50" ht="22" customHeight="1">
      <x:c r="A50" s="15" t="inlineStr">
        <x:is>
          <x:t xml:space="preserve">2024/2025</x:t>
        </x:is>
      </x:c>
      <x:c r="B50" s="15" t="inlineStr">
        <x:is>
          <x:t xml:space="preserve">Ökonomie</x:t>
        </x:is>
      </x:c>
      <x:c r="C50" s="16" t="n">
        <x:v>5</x:v>
      </x:c>
      <x:c r="D50" s="16">
        <x:f>COUNTIFS('03_Fraktionsvergleich'!A204:A329,A50,'03_Fraktionsvergleich'!C204:C329,B50,'03_Fraktionsvergleich'!H204:H329,"&gt;0")</x:f>
        <x:v>1</x:v>
      </x:c>
      <x:c r="E50" s="16">
        <x:f>COUNTIFS('03_Fraktionsvergleich'!A204:A329,A50,'03_Fraktionsvergleich'!C204:C329,B50,'03_Fraktionsvergleich'!H204:H329,"&lt;0")</x:f>
        <x:v>4</x:v>
      </x:c>
      <x:c r="F50" s="16">
        <x:f>COUNTIFS('03_Fraktionsvergleich'!A204:A329,A50,'03_Fraktionsvergleich'!C204:C329,B50,'03_Fraktionsvergleich'!H204:H329,"=0")</x:f>
        <x:v>0</x:v>
      </x:c>
      <x:c r="G50" s="24" t="str">
        <x:f>IF(OR(D50=C50,E50=C50,F50=C50),"Ja","Nein")</x:f>
        <x:v>Nein</x:v>
      </x:c>
      <x:c r="H50" s="1"/>
      <x:c r="I50" s="1"/>
      <x:c r="J50" s="1"/>
      <x:c r="K50" s="1"/>
    </x:row>
    <x:row r="51" ht="22" customHeight="1">
      <x:c r="A51" s="17" t="inlineStr">
        <x:is>
          <x:t xml:space="preserve">2024/2025</x:t>
        </x:is>
      </x:c>
      <x:c r="B51" s="17" t="inlineStr">
        <x:is>
          <x:t xml:space="preserve">S&amp;R</x:t>
        </x:is>
      </x:c>
      <x:c r="C51" s="18" t="n">
        <x:v>5</x:v>
      </x:c>
      <x:c r="D51" s="18">
        <x:f>COUNTIFS('03_Fraktionsvergleich'!A204:A329,A51,'03_Fraktionsvergleich'!C204:C329,B51,'03_Fraktionsvergleich'!H204:H329,"&gt;0")</x:f>
        <x:v>5</x:v>
      </x:c>
      <x:c r="E51" s="18">
        <x:f>COUNTIFS('03_Fraktionsvergleich'!A204:A329,A51,'03_Fraktionsvergleich'!C204:C329,B51,'03_Fraktionsvergleich'!H204:H329,"&lt;0")</x:f>
        <x:v>0</x:v>
      </x:c>
      <x:c r="F51" s="18">
        <x:f>COUNTIFS('03_Fraktionsvergleich'!A204:A329,A51,'03_Fraktionsvergleich'!C204:C329,B51,'03_Fraktionsvergleich'!H204:H329,"=0")</x:f>
        <x:v>0</x:v>
      </x:c>
      <x:c r="G51" s="39" t="str">
        <x:f>IF(OR(D51=C51,E51=C51,F51=C51),"Ja","Nein")</x:f>
        <x:v>Ja</x:v>
      </x:c>
      <x:c r="H51" s="1"/>
      <x:c r="I51" s="1"/>
      <x:c r="J51" s="1"/>
      <x:c r="K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6" customHeight="1">
      <x:c r="A54" s="10" t="str">
        <x:v>Jahresanteile und Abstand zum gemeinsamen Jahreswert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54" customHeight="1">
      <x:c r="A55" s="11" t="inlineStr">
        <x:is>
          <x:t xml:space="preserve">Jahr</x:t>
        </x:is>
      </x:c>
      <x:c r="B55" s="20" t="inlineStr">
        <x:is>
          <x:t xml:space="preserve">Fraktion</x:t>
        </x:is>
      </x:c>
      <x:c r="C55" s="20" t="inlineStr">
        <x:is>
          <x:t xml:space="preserve">Dimension</x:t>
        </x:is>
      </x:c>
      <x:c r="D55" s="20" t="inlineStr">
        <x:is>
          <x:t xml:space="preserve">Eigene A&amp;E n</x:t>
        </x:is>
      </x:c>
      <x:c r="E55" s="20" t="inlineStr">
        <x:is>
          <x:t xml:space="preserve">Eigene Dimension n</x:t>
        </x:is>
      </x:c>
      <x:c r="F55" s="20" t="str">
        <x:v>Pool A&amp;E n</x:v>
      </x:c>
      <x:c r="G55" s="20" t="str">
        <x:v>Pool Thema n</x:v>
      </x:c>
      <x:c r="H55" s="20" t="inlineStr">
        <x:is>
          <x:t xml:space="preserve">Eigener Anteil</x:t>
        </x:is>
      </x:c>
      <x:c r="I55" s="20" t="str">
        <x:v>Gemeinsamer Anteil</x:v>
      </x:c>
      <x:c r="J55" s="20" t="inlineStr">
        <x:is>
          <x:t xml:space="preserve">Abstand (PP)</x:t>
        </x:is>
      </x:c>
      <x:c r="K55"/>
    </x:row>
    <x:row r="56" ht="22" customHeight="1">
      <x:c r="A56" s="21" t="n">
        <x:v>2018</x:v>
      </x:c>
      <x:c r="B56" s="13" t="inlineStr">
        <x:is>
          <x:t xml:space="preserve">CDU/CSU</x:t>
        </x:is>
      </x:c>
      <x:c r="C56" s="13" t="inlineStr">
        <x:is>
          <x:t xml:space="preserve">Ökologie</x:t>
        </x:is>
      </x:c>
      <x:c r="D56" s="14">
        <x:v>1092</x:v>
      </x:c>
      <x:c r="E56" s="14">
        <x:v>272</x:v>
      </x:c>
      <x:c r="F56" s="14">
        <x:v>3234</x:v>
      </x:c>
      <x:c r="G56" s="14">
        <x:v>985</x:v>
      </x:c>
      <x:c r="H56" s="22">
        <x:f>E56/D56</x:f>
        <x:v>0.2490842490842491</x:v>
      </x:c>
      <x:c r="I56" s="22">
        <x:f>G56/F56</x:f>
        <x:v>0.3045763760049474</x:v>
      </x:c>
      <x:c r="J56" s="31">
        <x:f>(H56-I56)*100</x:f>
        <x:v>-5.549212692069832</x:v>
      </x:c>
      <x:c r="K56"/>
    </x:row>
    <x:row r="57" ht="22" customHeight="1">
      <x:c r="A57" s="24" t="n">
        <x:v>2018</x:v>
      </x:c>
      <x:c r="B57" s="15" t="inlineStr">
        <x:is>
          <x:t xml:space="preserve">SPD</x:t>
        </x:is>
      </x:c>
      <x:c r="C57" s="15" t="inlineStr">
        <x:is>
          <x:t xml:space="preserve">Ökologie</x:t>
        </x:is>
      </x:c>
      <x:c r="D57" s="16">
        <x:v>744</x:v>
      </x:c>
      <x:c r="E57" s="16">
        <x:v>267</x:v>
      </x:c>
      <x:c r="F57" s="16">
        <x:v>3234</x:v>
      </x:c>
      <x:c r="G57" s="16">
        <x:v>985</x:v>
      </x:c>
      <x:c r="H57" s="25">
        <x:f>E57/D57</x:f>
        <x:v>0.3588709677419355</x:v>
      </x:c>
      <x:c r="I57" s="25">
        <x:f>G57/F57</x:f>
        <x:v>0.3045763760049474</x:v>
      </x:c>
      <x:c r="J57" s="32">
        <x:f>(H57-I57)*100</x:f>
        <x:v>5.429459173698809</x:v>
      </x:c>
      <x:c r="K57"/>
    </x:row>
    <x:row r="58" ht="22" customHeight="1">
      <x:c r="A58" s="21" t="n">
        <x:v>2018</x:v>
      </x:c>
      <x:c r="B58" s="13" t="inlineStr">
        <x:is>
          <x:t xml:space="preserve">Grüne</x:t>
        </x:is>
      </x:c>
      <x:c r="C58" s="13" t="inlineStr">
        <x:is>
          <x:t xml:space="preserve">Ökologie</x:t>
        </x:is>
      </x:c>
      <x:c r="D58" s="14">
        <x:v>320</x:v>
      </x:c>
      <x:c r="E58" s="14">
        <x:v>122</x:v>
      </x:c>
      <x:c r="F58" s="14">
        <x:v>3234</x:v>
      </x:c>
      <x:c r="G58" s="14">
        <x:v>985</x:v>
      </x:c>
      <x:c r="H58" s="22">
        <x:f>E58/D58</x:f>
        <x:v>0.38125</x:v>
      </x:c>
      <x:c r="I58" s="22">
        <x:f>G58/F58</x:f>
        <x:v>0.3045763760049474</x:v>
      </x:c>
      <x:c r="J58" s="31">
        <x:f>(H58-I58)*100</x:f>
        <x:v>7.667362399505256</x:v>
      </x:c>
      <x:c r="K58"/>
    </x:row>
    <x:row r="59" ht="22" customHeight="1">
      <x:c r="A59" s="24" t="n">
        <x:v>2018</x:v>
      </x:c>
      <x:c r="B59" s="15" t="inlineStr">
        <x:is>
          <x:t xml:space="preserve">FDP</x:t>
        </x:is>
      </x:c>
      <x:c r="C59" s="15" t="inlineStr">
        <x:is>
          <x:t xml:space="preserve">Ökologie</x:t>
        </x:is>
      </x:c>
      <x:c r="D59" s="16">
        <x:v>353</x:v>
      </x:c>
      <x:c r="E59" s="16">
        <x:v>114</x:v>
      </x:c>
      <x:c r="F59" s="16">
        <x:v>3234</x:v>
      </x:c>
      <x:c r="G59" s="16">
        <x:v>985</x:v>
      </x:c>
      <x:c r="H59" s="25">
        <x:f>E59/D59</x:f>
        <x:v>0.32294617563739375</x:v>
      </x:c>
      <x:c r="I59" s="25">
        <x:f>G59/F59</x:f>
        <x:v>0.3045763760049474</x:v>
      </x:c>
      <x:c r="J59" s="32">
        <x:f>(H59-I59)*100</x:f>
        <x:v>1.8369799632446338</x:v>
      </x:c>
      <x:c r="K59"/>
    </x:row>
    <x:row r="60" ht="22" customHeight="1">
      <x:c r="A60" s="21" t="n">
        <x:v>2018</x:v>
      </x:c>
      <x:c r="B60" s="13" t="inlineStr">
        <x:is>
          <x:t xml:space="preserve">AfD</x:t>
        </x:is>
      </x:c>
      <x:c r="C60" s="13" t="inlineStr">
        <x:is>
          <x:t xml:space="preserve">Ökologie</x:t>
        </x:is>
      </x:c>
      <x:c r="D60" s="14">
        <x:v>371</x:v>
      </x:c>
      <x:c r="E60" s="14">
        <x:v>109</x:v>
      </x:c>
      <x:c r="F60" s="14">
        <x:v>3234</x:v>
      </x:c>
      <x:c r="G60" s="14">
        <x:v>985</x:v>
      </x:c>
      <x:c r="H60" s="22">
        <x:f>E60/D60</x:f>
        <x:v>0.29380053908355797</x:v>
      </x:c>
      <x:c r="I60" s="22">
        <x:f>G60/F60</x:f>
        <x:v>0.3045763760049474</x:v>
      </x:c>
      <x:c r="J60" s="31">
        <x:f>(H60-I60)*100</x:f>
        <x:v>-1.0775836921389448</x:v>
      </x:c>
      <x:c r="K60"/>
    </x:row>
    <x:row r="61" ht="22" customHeight="1">
      <x:c r="A61" s="24" t="n">
        <x:v>2018</x:v>
      </x:c>
      <x:c r="B61" s="15" t="inlineStr">
        <x:is>
          <x:t xml:space="preserve">Die Linke</x:t>
        </x:is>
      </x:c>
      <x:c r="C61" s="15" t="inlineStr">
        <x:is>
          <x:t xml:space="preserve">Ökologie</x:t>
        </x:is>
      </x:c>
      <x:c r="D61" s="16">
        <x:v>354</x:v>
      </x:c>
      <x:c r="E61" s="16">
        <x:v>101</x:v>
      </x:c>
      <x:c r="F61" s="16">
        <x:v>3234</x:v>
      </x:c>
      <x:c r="G61" s="16">
        <x:v>985</x:v>
      </x:c>
      <x:c r="H61" s="25">
        <x:f>E61/D61</x:f>
        <x:v>0.2853107344632768</x:v>
      </x:c>
      <x:c r="I61" s="25">
        <x:f>G61/F61</x:f>
        <x:v>0.3045763760049474</x:v>
      </x:c>
      <x:c r="J61" s="32">
        <x:f>(H61-I61)*100</x:f>
        <x:v>-1.9265641541670597</x:v>
      </x:c>
      <x:c r="K61"/>
    </x:row>
    <x:row r="62" ht="22" customHeight="1">
      <x:c r="A62" s="21" t="n">
        <x:v>2018</x:v>
      </x:c>
      <x:c r="B62" s="13" t="inlineStr">
        <x:is>
          <x:t xml:space="preserve">CDU/CSU</x:t>
        </x:is>
      </x:c>
      <x:c r="C62" s="13" t="inlineStr">
        <x:is>
          <x:t xml:space="preserve">Ökonomie</x:t>
        </x:is>
      </x:c>
      <x:c r="D62" s="14">
        <x:v>1092</x:v>
      </x:c>
      <x:c r="E62" s="14">
        <x:v>155</x:v>
      </x:c>
      <x:c r="F62" s="14">
        <x:v>3234</x:v>
      </x:c>
      <x:c r="G62" s="14">
        <x:v>525</x:v>
      </x:c>
      <x:c r="H62" s="22">
        <x:f>E62/D62</x:f>
        <x:v>0.14194139194139194</x:v>
      </x:c>
      <x:c r="I62" s="22">
        <x:f>G62/F62</x:f>
        <x:v>0.16233766233766234</x:v>
      </x:c>
      <x:c r="J62" s="31">
        <x:f>(H62-I62)*100</x:f>
        <x:v>-2.0396270396270397</x:v>
      </x:c>
      <x:c r="K62"/>
    </x:row>
    <x:row r="63" ht="22" customHeight="1">
      <x:c r="A63" s="24" t="n">
        <x:v>2018</x:v>
      </x:c>
      <x:c r="B63" s="15" t="inlineStr">
        <x:is>
          <x:t xml:space="preserve">SPD</x:t>
        </x:is>
      </x:c>
      <x:c r="C63" s="15" t="inlineStr">
        <x:is>
          <x:t xml:space="preserve">Ökonomie</x:t>
        </x:is>
      </x:c>
      <x:c r="D63" s="16">
        <x:v>744</x:v>
      </x:c>
      <x:c r="E63" s="16">
        <x:v>91</x:v>
      </x:c>
      <x:c r="F63" s="16">
        <x:v>3234</x:v>
      </x:c>
      <x:c r="G63" s="16">
        <x:v>525</x:v>
      </x:c>
      <x:c r="H63" s="25">
        <x:f>E63/D63</x:f>
        <x:v>0.12231182795698925</x:v>
      </x:c>
      <x:c r="I63" s="25">
        <x:f>G63/F63</x:f>
        <x:v>0.16233766233766234</x:v>
      </x:c>
      <x:c r="J63" s="32">
        <x:f>(H63-I63)*100</x:f>
        <x:v>-4.002583438067308</x:v>
      </x:c>
      <x:c r="K63"/>
    </x:row>
    <x:row r="64" ht="22" customHeight="1">
      <x:c r="A64" s="21" t="n">
        <x:v>2018</x:v>
      </x:c>
      <x:c r="B64" s="13" t="inlineStr">
        <x:is>
          <x:t xml:space="preserve">Grüne</x:t>
        </x:is>
      </x:c>
      <x:c r="C64" s="13" t="inlineStr">
        <x:is>
          <x:t xml:space="preserve">Ökonomie</x:t>
        </x:is>
      </x:c>
      <x:c r="D64" s="14">
        <x:v>320</x:v>
      </x:c>
      <x:c r="E64" s="14">
        <x:v>49</x:v>
      </x:c>
      <x:c r="F64" s="14">
        <x:v>3234</x:v>
      </x:c>
      <x:c r="G64" s="14">
        <x:v>525</x:v>
      </x:c>
      <x:c r="H64" s="22">
        <x:f>E64/D64</x:f>
        <x:v>0.153125</x:v>
      </x:c>
      <x:c r="I64" s="22">
        <x:f>G64/F64</x:f>
        <x:v>0.16233766233766234</x:v>
      </x:c>
      <x:c r="J64" s="31">
        <x:f>(H64-I64)*100</x:f>
        <x:v>-0.9212662337662325</x:v>
      </x:c>
      <x:c r="K64"/>
    </x:row>
    <x:row r="65" ht="22" customHeight="1">
      <x:c r="A65" s="24" t="n">
        <x:v>2018</x:v>
      </x:c>
      <x:c r="B65" s="15" t="inlineStr">
        <x:is>
          <x:t xml:space="preserve">FDP</x:t>
        </x:is>
      </x:c>
      <x:c r="C65" s="15" t="inlineStr">
        <x:is>
          <x:t xml:space="preserve">Ökonomie</x:t>
        </x:is>
      </x:c>
      <x:c r="D65" s="16">
        <x:v>353</x:v>
      </x:c>
      <x:c r="E65" s="16">
        <x:v>71</x:v>
      </x:c>
      <x:c r="F65" s="16">
        <x:v>3234</x:v>
      </x:c>
      <x:c r="G65" s="16">
        <x:v>525</x:v>
      </x:c>
      <x:c r="H65" s="25">
        <x:f>E65/D65</x:f>
        <x:v>0.20113314447592068</x:v>
      </x:c>
      <x:c r="I65" s="25">
        <x:f>G65/F65</x:f>
        <x:v>0.16233766233766234</x:v>
      </x:c>
      <x:c r="J65" s="32">
        <x:f>(H65-I65)*100</x:f>
        <x:v>3.879548213825834</x:v>
      </x:c>
      <x:c r="K65"/>
    </x:row>
    <x:row r="66" ht="22" customHeight="1">
      <x:c r="A66" s="21" t="n">
        <x:v>2018</x:v>
      </x:c>
      <x:c r="B66" s="13" t="inlineStr">
        <x:is>
          <x:t xml:space="preserve">AfD</x:t>
        </x:is>
      </x:c>
      <x:c r="C66" s="13" t="inlineStr">
        <x:is>
          <x:t xml:space="preserve">Ökonomie</x:t>
        </x:is>
      </x:c>
      <x:c r="D66" s="14">
        <x:v>371</x:v>
      </x:c>
      <x:c r="E66" s="14">
        <x:v>77</x:v>
      </x:c>
      <x:c r="F66" s="14">
        <x:v>3234</x:v>
      </x:c>
      <x:c r="G66" s="14">
        <x:v>525</x:v>
      </x:c>
      <x:c r="H66" s="22">
        <x:f>E66/D66</x:f>
        <x:v>0.20754716981132076</x:v>
      </x:c>
      <x:c r="I66" s="22">
        <x:f>G66/F66</x:f>
        <x:v>0.16233766233766234</x:v>
      </x:c>
      <x:c r="J66" s="31">
        <x:f>(H66-I66)*100</x:f>
        <x:v>4.520950747365843</x:v>
      </x:c>
      <x:c r="K66"/>
    </x:row>
    <x:row r="67" ht="22" customHeight="1">
      <x:c r="A67" s="24" t="n">
        <x:v>2018</x:v>
      </x:c>
      <x:c r="B67" s="15" t="inlineStr">
        <x:is>
          <x:t xml:space="preserve">Die Linke</x:t>
        </x:is>
      </x:c>
      <x:c r="C67" s="15" t="inlineStr">
        <x:is>
          <x:t xml:space="preserve">Ökonomie</x:t>
        </x:is>
      </x:c>
      <x:c r="D67" s="16">
        <x:v>354</x:v>
      </x:c>
      <x:c r="E67" s="16">
        <x:v>82</x:v>
      </x:c>
      <x:c r="F67" s="16">
        <x:v>3234</x:v>
      </x:c>
      <x:c r="G67" s="16">
        <x:v>525</x:v>
      </x:c>
      <x:c r="H67" s="25">
        <x:f>E67/D67</x:f>
        <x:v>0.23163841807909605</x:v>
      </x:c>
      <x:c r="I67" s="25">
        <x:f>G67/F67</x:f>
        <x:v>0.16233766233766234</x:v>
      </x:c>
      <x:c r="J67" s="32">
        <x:f>(H67-I67)*100</x:f>
        <x:v>6.9300755741433715</x:v>
      </x:c>
      <x:c r="K67"/>
    </x:row>
    <x:row r="68" ht="22" customHeight="1">
      <x:c r="A68" s="21" t="n">
        <x:v>2018</x:v>
      </x:c>
      <x:c r="B68" s="13" t="inlineStr">
        <x:is>
          <x:t xml:space="preserve">CDU/CSU</x:t>
        </x:is>
      </x:c>
      <x:c r="C68" s="13" t="inlineStr">
        <x:is>
          <x:t xml:space="preserve">S&amp;R</x:t>
        </x:is>
      </x:c>
      <x:c r="D68" s="14">
        <x:v>1092</x:v>
      </x:c>
      <x:c r="E68" s="14">
        <x:v>11</x:v>
      </x:c>
      <x:c r="F68" s="14">
        <x:v>3234</x:v>
      </x:c>
      <x:c r="G68" s="14">
        <x:v>41</x:v>
      </x:c>
      <x:c r="H68" s="22">
        <x:f>E68/D68</x:f>
        <x:v>0.010073260073260074</x:v>
      </x:c>
      <x:c r="I68" s="22">
        <x:f>G68/F68</x:f>
        <x:v>0.012677798392084107</x:v>
      </x:c>
      <x:c r="J68" s="31">
        <x:f>(H68-I68)*100</x:f>
        <x:v>-0.26045383188240334</x:v>
      </x:c>
      <x:c r="K68"/>
    </x:row>
    <x:row r="69" ht="22" customHeight="1">
      <x:c r="A69" s="24" t="n">
        <x:v>2018</x:v>
      </x:c>
      <x:c r="B69" s="15" t="inlineStr">
        <x:is>
          <x:t xml:space="preserve">SPD</x:t>
        </x:is>
      </x:c>
      <x:c r="C69" s="15" t="inlineStr">
        <x:is>
          <x:t xml:space="preserve">S&amp;R</x:t>
        </x:is>
      </x:c>
      <x:c r="D69" s="16">
        <x:v>744</x:v>
      </x:c>
      <x:c r="E69" s="16">
        <x:v>7</x:v>
      </x:c>
      <x:c r="F69" s="16">
        <x:v>3234</x:v>
      </x:c>
      <x:c r="G69" s="16">
        <x:v>41</x:v>
      </x:c>
      <x:c r="H69" s="25">
        <x:f>E69/D69</x:f>
        <x:v>0.009408602150537635</x:v>
      </x:c>
      <x:c r="I69" s="25">
        <x:f>G69/F69</x:f>
        <x:v>0.012677798392084107</x:v>
      </x:c>
      <x:c r="J69" s="32">
        <x:f>(H69-I69)*100</x:f>
        <x:v>-0.32691962415464726</x:v>
      </x:c>
      <x:c r="K69"/>
    </x:row>
    <x:row r="70" ht="22" customHeight="1">
      <x:c r="A70" s="21" t="n">
        <x:v>2018</x:v>
      </x:c>
      <x:c r="B70" s="13" t="inlineStr">
        <x:is>
          <x:t xml:space="preserve">Grüne</x:t>
        </x:is>
      </x:c>
      <x:c r="C70" s="13" t="inlineStr">
        <x:is>
          <x:t xml:space="preserve">S&amp;R</x:t>
        </x:is>
      </x:c>
      <x:c r="D70" s="14">
        <x:v>320</x:v>
      </x:c>
      <x:c r="E70" s="14">
        <x:v>3</x:v>
      </x:c>
      <x:c r="F70" s="14">
        <x:v>3234</x:v>
      </x:c>
      <x:c r="G70" s="14">
        <x:v>41</x:v>
      </x:c>
      <x:c r="H70" s="22">
        <x:f>E70/D70</x:f>
        <x:v>0.009375</x:v>
      </x:c>
      <x:c r="I70" s="22">
        <x:f>G70/F70</x:f>
        <x:v>0.012677798392084107</x:v>
      </x:c>
      <x:c r="J70" s="31">
        <x:f>(H70-I70)*100</x:f>
        <x:v>-0.33027983920841075</x:v>
      </x:c>
      <x:c r="K70"/>
    </x:row>
    <x:row r="71" ht="22" customHeight="1">
      <x:c r="A71" s="24" t="n">
        <x:v>2018</x:v>
      </x:c>
      <x:c r="B71" s="15" t="inlineStr">
        <x:is>
          <x:t xml:space="preserve">FDP</x:t>
        </x:is>
      </x:c>
      <x:c r="C71" s="15" t="inlineStr">
        <x:is>
          <x:t xml:space="preserve">S&amp;R</x:t>
        </x:is>
      </x:c>
      <x:c r="D71" s="16">
        <x:v>353</x:v>
      </x:c>
      <x:c r="E71" s="16">
        <x:v>11</x:v>
      </x:c>
      <x:c r="F71" s="16">
        <x:v>3234</x:v>
      </x:c>
      <x:c r="G71" s="16">
        <x:v>41</x:v>
      </x:c>
      <x:c r="H71" s="25">
        <x:f>E71/D71</x:f>
        <x:v>0.031161473087818695</x:v>
      </x:c>
      <x:c r="I71" s="25">
        <x:f>G71/F71</x:f>
        <x:v>0.012677798392084107</x:v>
      </x:c>
      <x:c r="J71" s="32">
        <x:f>(H71-I71)*100</x:f>
        <x:v>1.8483674695734587</x:v>
      </x:c>
      <x:c r="K71"/>
    </x:row>
    <x:row r="72" ht="22" customHeight="1">
      <x:c r="A72" s="21" t="n">
        <x:v>2018</x:v>
      </x:c>
      <x:c r="B72" s="13" t="inlineStr">
        <x:is>
          <x:t xml:space="preserve">AfD</x:t>
        </x:is>
      </x:c>
      <x:c r="C72" s="13" t="inlineStr">
        <x:is>
          <x:t xml:space="preserve">S&amp;R</x:t>
        </x:is>
      </x:c>
      <x:c r="D72" s="14">
        <x:v>371</x:v>
      </x:c>
      <x:c r="E72" s="14">
        <x:v>5</x:v>
      </x:c>
      <x:c r="F72" s="14">
        <x:v>3234</x:v>
      </x:c>
      <x:c r="G72" s="14">
        <x:v>41</x:v>
      </x:c>
      <x:c r="H72" s="22">
        <x:f>E72/D72</x:f>
        <x:v>0.013477088948787063</x:v>
      </x:c>
      <x:c r="I72" s="22">
        <x:f>G72/F72</x:f>
        <x:v>0.012677798392084107</x:v>
      </x:c>
      <x:c r="J72" s="31">
        <x:f>(H72-I72)*100</x:f>
        <x:v>0.07992905567029557</x:v>
      </x:c>
      <x:c r="K72"/>
    </x:row>
    <x:row r="73" ht="22" customHeight="1">
      <x:c r="A73" s="24" t="n">
        <x:v>2018</x:v>
      </x:c>
      <x:c r="B73" s="15" t="inlineStr">
        <x:is>
          <x:t xml:space="preserve">Die Linke</x:t>
        </x:is>
      </x:c>
      <x:c r="C73" s="15" t="inlineStr">
        <x:is>
          <x:t xml:space="preserve">S&amp;R</x:t>
        </x:is>
      </x:c>
      <x:c r="D73" s="16">
        <x:v>354</x:v>
      </x:c>
      <x:c r="E73" s="16">
        <x:v>4</x:v>
      </x:c>
      <x:c r="F73" s="16">
        <x:v>3234</x:v>
      </x:c>
      <x:c r="G73" s="16">
        <x:v>41</x:v>
      </x:c>
      <x:c r="H73" s="25">
        <x:f>E73/D73</x:f>
        <x:v>0.011299435028248588</x:v>
      </x:c>
      <x:c r="I73" s="25">
        <x:f>G73/F73</x:f>
        <x:v>0.012677798392084107</x:v>
      </x:c>
      <x:c r="J73" s="32">
        <x:f>(H73-I73)*100</x:f>
        <x:v>-0.13783633638355194</x:v>
      </x:c>
      <x:c r="K73"/>
    </x:row>
    <x:row r="74" ht="22" customHeight="1">
      <x:c r="A74" s="21" t="n">
        <x:v>2019</x:v>
      </x:c>
      <x:c r="B74" s="13" t="inlineStr">
        <x:is>
          <x:t xml:space="preserve">CDU/CSU</x:t>
        </x:is>
      </x:c>
      <x:c r="C74" s="13" t="inlineStr">
        <x:is>
          <x:t xml:space="preserve">Ökologie</x:t>
        </x:is>
      </x:c>
      <x:c r="D74" s="14">
        <x:v>946</x:v>
      </x:c>
      <x:c r="E74" s="14">
        <x:v>272</x:v>
      </x:c>
      <x:c r="F74" s="14">
        <x:v>2791</x:v>
      </x:c>
      <x:c r="G74" s="14">
        <x:v>846</x:v>
      </x:c>
      <x:c r="H74" s="22">
        <x:f>E74/D74</x:f>
        <x:v>0.28752642706131076</x:v>
      </x:c>
      <x:c r="I74" s="22">
        <x:f>G74/F74</x:f>
        <x:v>0.3031171623074167</x:v>
      </x:c>
      <x:c r="J74" s="31">
        <x:f>(H74-I74)*100</x:f>
        <x:v>-1.5590735246105936</x:v>
      </x:c>
      <x:c r="K74"/>
    </x:row>
    <x:row r="75" ht="22" customHeight="1">
      <x:c r="A75" s="24" t="n">
        <x:v>2019</x:v>
      </x:c>
      <x:c r="B75" s="15" t="inlineStr">
        <x:is>
          <x:t xml:space="preserve">SPD</x:t>
        </x:is>
      </x:c>
      <x:c r="C75" s="15" t="inlineStr">
        <x:is>
          <x:t xml:space="preserve">Ökologie</x:t>
        </x:is>
      </x:c>
      <x:c r="D75" s="16">
        <x:v>554</x:v>
      </x:c>
      <x:c r="E75" s="16">
        <x:v>190</x:v>
      </x:c>
      <x:c r="F75" s="16">
        <x:v>2791</x:v>
      </x:c>
      <x:c r="G75" s="16">
        <x:v>846</x:v>
      </x:c>
      <x:c r="H75" s="25">
        <x:f>E75/D75</x:f>
        <x:v>0.34296028880866425</x:v>
      </x:c>
      <x:c r="I75" s="25">
        <x:f>G75/F75</x:f>
        <x:v>0.3031171623074167</x:v>
      </x:c>
      <x:c r="J75" s="32">
        <x:f>(H75-I75)*100</x:f>
        <x:v>3.984312650124755</x:v>
      </x:c>
      <x:c r="K75"/>
    </x:row>
    <x:row r="76" ht="22" customHeight="1">
      <x:c r="A76" s="21" t="n">
        <x:v>2019</x:v>
      </x:c>
      <x:c r="B76" s="13" t="inlineStr">
        <x:is>
          <x:t xml:space="preserve">Grüne</x:t>
        </x:is>
      </x:c>
      <x:c r="C76" s="13" t="inlineStr">
        <x:is>
          <x:t xml:space="preserve">Ökologie</x:t>
        </x:is>
      </x:c>
      <x:c r="D76" s="14">
        <x:v>329</x:v>
      </x:c>
      <x:c r="E76" s="14">
        <x:v>118</x:v>
      </x:c>
      <x:c r="F76" s="14">
        <x:v>2791</x:v>
      </x:c>
      <x:c r="G76" s="14">
        <x:v>846</x:v>
      </x:c>
      <x:c r="H76" s="22">
        <x:f>E76/D76</x:f>
        <x:v>0.3586626139817629</x:v>
      </x:c>
      <x:c r="I76" s="22">
        <x:f>G76/F76</x:f>
        <x:v>0.3031171623074167</x:v>
      </x:c>
      <x:c r="J76" s="31">
        <x:f>(H76-I76)*100</x:f>
        <x:v>5.554545167434622</x:v>
      </x:c>
      <x:c r="K76"/>
    </x:row>
    <x:row r="77" ht="22" customHeight="1">
      <x:c r="A77" s="24" t="n">
        <x:v>2019</x:v>
      </x:c>
      <x:c r="B77" s="15" t="inlineStr">
        <x:is>
          <x:t xml:space="preserve">FDP</x:t>
        </x:is>
      </x:c>
      <x:c r="C77" s="15" t="inlineStr">
        <x:is>
          <x:t xml:space="preserve">Ökologie</x:t>
        </x:is>
      </x:c>
      <x:c r="D77" s="16">
        <x:v>298</x:v>
      </x:c>
      <x:c r="E77" s="16">
        <x:v>89</x:v>
      </x:c>
      <x:c r="F77" s="16">
        <x:v>2791</x:v>
      </x:c>
      <x:c r="G77" s="16">
        <x:v>846</x:v>
      </x:c>
      <x:c r="H77" s="25">
        <x:f>E77/D77</x:f>
        <x:v>0.2986577181208054</x:v>
      </x:c>
      <x:c r="I77" s="25">
        <x:f>G77/F77</x:f>
        <x:v>0.3031171623074167</x:v>
      </x:c>
      <x:c r="J77" s="32">
        <x:f>(H77-I77)*100</x:f>
        <x:v>-0.44594441866113166</x:v>
      </x:c>
      <x:c r="K77"/>
    </x:row>
    <x:row r="78" ht="22" customHeight="1">
      <x:c r="A78" s="21" t="n">
        <x:v>2019</x:v>
      </x:c>
      <x:c r="B78" s="13" t="inlineStr">
        <x:is>
          <x:t xml:space="preserve">AfD</x:t>
        </x:is>
      </x:c>
      <x:c r="C78" s="13" t="inlineStr">
        <x:is>
          <x:t xml:space="preserve">Ökologie</x:t>
        </x:is>
      </x:c>
      <x:c r="D78" s="14">
        <x:v>345</x:v>
      </x:c>
      <x:c r="E78" s="14">
        <x:v>83</x:v>
      </x:c>
      <x:c r="F78" s="14">
        <x:v>2791</x:v>
      </x:c>
      <x:c r="G78" s="14">
        <x:v>846</x:v>
      </x:c>
      <x:c r="H78" s="22">
        <x:f>E78/D78</x:f>
        <x:v>0.24057971014492754</x:v>
      </x:c>
      <x:c r="I78" s="22">
        <x:f>G78/F78</x:f>
        <x:v>0.3031171623074167</x:v>
      </x:c>
      <x:c r="J78" s="31">
        <x:f>(H78-I78)*100</x:f>
        <x:v>-6.253745216248915</x:v>
      </x:c>
      <x:c r="K78"/>
    </x:row>
    <x:row r="79" ht="22" customHeight="1">
      <x:c r="A79" s="24" t="n">
        <x:v>2019</x:v>
      </x:c>
      <x:c r="B79" s="15" t="inlineStr">
        <x:is>
          <x:t xml:space="preserve">Die Linke</x:t>
        </x:is>
      </x:c>
      <x:c r="C79" s="15" t="inlineStr">
        <x:is>
          <x:t xml:space="preserve">Ökologie</x:t>
        </x:is>
      </x:c>
      <x:c r="D79" s="16">
        <x:v>319</x:v>
      </x:c>
      <x:c r="E79" s="16">
        <x:v>94</x:v>
      </x:c>
      <x:c r="F79" s="16">
        <x:v>2791</x:v>
      </x:c>
      <x:c r="G79" s="16">
        <x:v>846</x:v>
      </x:c>
      <x:c r="H79" s="25">
        <x:f>E79/D79</x:f>
        <x:v>0.2946708463949843</x:v>
      </x:c>
      <x:c r="I79" s="25">
        <x:f>G79/F79</x:f>
        <x:v>0.3031171623074167</x:v>
      </x:c>
      <x:c r="J79" s="32">
        <x:f>(H79-I79)*100</x:f>
        <x:v>-0.8446315912432389</x:v>
      </x:c>
      <x:c r="K79"/>
    </x:row>
    <x:row r="80" ht="22" customHeight="1">
      <x:c r="A80" s="21" t="n">
        <x:v>2019</x:v>
      </x:c>
      <x:c r="B80" s="13" t="inlineStr">
        <x:is>
          <x:t xml:space="preserve">CDU/CSU</x:t>
        </x:is>
      </x:c>
      <x:c r="C80" s="13" t="inlineStr">
        <x:is>
          <x:t xml:space="preserve">Ökonomie</x:t>
        </x:is>
      </x:c>
      <x:c r="D80" s="14">
        <x:v>946</x:v>
      </x:c>
      <x:c r="E80" s="14">
        <x:v>127</x:v>
      </x:c>
      <x:c r="F80" s="14">
        <x:v>2791</x:v>
      </x:c>
      <x:c r="G80" s="14">
        <x:v>434</x:v>
      </x:c>
      <x:c r="H80" s="22">
        <x:f>E80/D80</x:f>
        <x:v>0.13424947145877378</x:v>
      </x:c>
      <x:c r="I80" s="22">
        <x:f>G80/F80</x:f>
        <x:v>0.15549982085274094</x:v>
      </x:c>
      <x:c r="J80" s="31">
        <x:f>(H80-I80)*100</x:f>
        <x:v>-2.1250349393967167</x:v>
      </x:c>
      <x:c r="K80"/>
    </x:row>
    <x:row r="81" ht="22" customHeight="1">
      <x:c r="A81" s="24" t="n">
        <x:v>2019</x:v>
      </x:c>
      <x:c r="B81" s="15" t="inlineStr">
        <x:is>
          <x:t xml:space="preserve">SPD</x:t>
        </x:is>
      </x:c>
      <x:c r="C81" s="15" t="inlineStr">
        <x:is>
          <x:t xml:space="preserve">Ökonomie</x:t>
        </x:is>
      </x:c>
      <x:c r="D81" s="16">
        <x:v>554</x:v>
      </x:c>
      <x:c r="E81" s="16">
        <x:v>63</x:v>
      </x:c>
      <x:c r="F81" s="16">
        <x:v>2791</x:v>
      </x:c>
      <x:c r="G81" s="16">
        <x:v>434</x:v>
      </x:c>
      <x:c r="H81" s="25">
        <x:f>E81/D81</x:f>
        <x:v>0.11371841155234658</x:v>
      </x:c>
      <x:c r="I81" s="25">
        <x:f>G81/F81</x:f>
        <x:v>0.15549982085274094</x:v>
      </x:c>
      <x:c r="J81" s="32">
        <x:f>(H81-I81)*100</x:f>
        <x:v>-4.1781409300394365</x:v>
      </x:c>
      <x:c r="K81"/>
    </x:row>
    <x:row r="82" ht="22" customHeight="1">
      <x:c r="A82" s="21" t="n">
        <x:v>2019</x:v>
      </x:c>
      <x:c r="B82" s="13" t="inlineStr">
        <x:is>
          <x:t xml:space="preserve">Grüne</x:t>
        </x:is>
      </x:c>
      <x:c r="C82" s="13" t="inlineStr">
        <x:is>
          <x:t xml:space="preserve">Ökonomie</x:t>
        </x:is>
      </x:c>
      <x:c r="D82" s="14">
        <x:v>329</x:v>
      </x:c>
      <x:c r="E82" s="14">
        <x:v>49</x:v>
      </x:c>
      <x:c r="F82" s="14">
        <x:v>2791</x:v>
      </x:c>
      <x:c r="G82" s="14">
        <x:v>434</x:v>
      </x:c>
      <x:c r="H82" s="22">
        <x:f>E82/D82</x:f>
        <x:v>0.14893617021276595</x:v>
      </x:c>
      <x:c r="I82" s="22">
        <x:f>G82/F82</x:f>
        <x:v>0.15549982085274094</x:v>
      </x:c>
      <x:c r="J82" s="31">
        <x:f>(H82-I82)*100</x:f>
        <x:v>-0.6563650639974994</x:v>
      </x:c>
      <x:c r="K82"/>
    </x:row>
    <x:row r="83" ht="22" customHeight="1">
      <x:c r="A83" s="24" t="n">
        <x:v>2019</x:v>
      </x:c>
      <x:c r="B83" s="15" t="inlineStr">
        <x:is>
          <x:t xml:space="preserve">FDP</x:t>
        </x:is>
      </x:c>
      <x:c r="C83" s="15" t="inlineStr">
        <x:is>
          <x:t xml:space="preserve">Ökonomie</x:t>
        </x:is>
      </x:c>
      <x:c r="D83" s="16">
        <x:v>298</x:v>
      </x:c>
      <x:c r="E83" s="16">
        <x:v>56</x:v>
      </x:c>
      <x:c r="F83" s="16">
        <x:v>2791</x:v>
      </x:c>
      <x:c r="G83" s="16">
        <x:v>434</x:v>
      </x:c>
      <x:c r="H83" s="25">
        <x:f>E83/D83</x:f>
        <x:v>0.18791946308724833</x:v>
      </x:c>
      <x:c r="I83" s="25">
        <x:f>G83/F83</x:f>
        <x:v>0.15549982085274094</x:v>
      </x:c>
      <x:c r="J83" s="32">
        <x:f>(H83-I83)*100</x:f>
        <x:v>3.241964223450738</x:v>
      </x:c>
      <x:c r="K83"/>
    </x:row>
    <x:row r="84" ht="22" customHeight="1">
      <x:c r="A84" s="21" t="n">
        <x:v>2019</x:v>
      </x:c>
      <x:c r="B84" s="13" t="inlineStr">
        <x:is>
          <x:t xml:space="preserve">AfD</x:t>
        </x:is>
      </x:c>
      <x:c r="C84" s="13" t="inlineStr">
        <x:is>
          <x:t xml:space="preserve">Ökonomie</x:t>
        </x:is>
      </x:c>
      <x:c r="D84" s="14">
        <x:v>345</x:v>
      </x:c>
      <x:c r="E84" s="14">
        <x:v>60</x:v>
      </x:c>
      <x:c r="F84" s="14">
        <x:v>2791</x:v>
      </x:c>
      <x:c r="G84" s="14">
        <x:v>434</x:v>
      </x:c>
      <x:c r="H84" s="22">
        <x:f>E84/D84</x:f>
        <x:v>0.17391304347826086</x:v>
      </x:c>
      <x:c r="I84" s="22">
        <x:f>G84/F84</x:f>
        <x:v>0.15549982085274094</x:v>
      </x:c>
      <x:c r="J84" s="31">
        <x:f>(H84-I84)*100</x:f>
        <x:v>1.841322262551992</x:v>
      </x:c>
      <x:c r="K84"/>
    </x:row>
    <x:row r="85" ht="22" customHeight="1">
      <x:c r="A85" s="24" t="n">
        <x:v>2019</x:v>
      </x:c>
      <x:c r="B85" s="15" t="inlineStr">
        <x:is>
          <x:t xml:space="preserve">Die Linke</x:t>
        </x:is>
      </x:c>
      <x:c r="C85" s="15" t="inlineStr">
        <x:is>
          <x:t xml:space="preserve">Ökonomie</x:t>
        </x:is>
      </x:c>
      <x:c r="D85" s="16">
        <x:v>319</x:v>
      </x:c>
      <x:c r="E85" s="16">
        <x:v>79</x:v>
      </x:c>
      <x:c r="F85" s="16">
        <x:v>2791</x:v>
      </x:c>
      <x:c r="G85" s="16">
        <x:v>434</x:v>
      </x:c>
      <x:c r="H85" s="25">
        <x:f>E85/D85</x:f>
        <x:v>0.2476489028213166</x:v>
      </x:c>
      <x:c r="I85" s="25">
        <x:f>G85/F85</x:f>
        <x:v>0.15549982085274094</x:v>
      </x:c>
      <x:c r="J85" s="32">
        <x:f>(H85-I85)*100</x:f>
        <x:v>9.214908196857566</x:v>
      </x:c>
      <x:c r="K85"/>
    </x:row>
    <x:row r="86" ht="22" customHeight="1">
      <x:c r="A86" s="21" t="n">
        <x:v>2019</x:v>
      </x:c>
      <x:c r="B86" s="13" t="inlineStr">
        <x:is>
          <x:t xml:space="preserve">CDU/CSU</x:t>
        </x:is>
      </x:c>
      <x:c r="C86" s="13" t="inlineStr">
        <x:is>
          <x:t xml:space="preserve">S&amp;R</x:t>
        </x:is>
      </x:c>
      <x:c r="D86" s="14">
        <x:v>946</x:v>
      </x:c>
      <x:c r="E86" s="14">
        <x:v>20</x:v>
      </x:c>
      <x:c r="F86" s="14">
        <x:v>2791</x:v>
      </x:c>
      <x:c r="G86" s="14">
        <x:v>52</x:v>
      </x:c>
      <x:c r="H86" s="22">
        <x:f>E86/D86</x:f>
        <x:v>0.021141649048625793</x:v>
      </x:c>
      <x:c r="I86" s="22">
        <x:f>G86/F86</x:f>
        <x:v>0.018631314940881404</x:v>
      </x:c>
      <x:c r="J86" s="31">
        <x:f>(H86-I86)*100</x:f>
        <x:v>0.2510334107744389</x:v>
      </x:c>
      <x:c r="K86"/>
    </x:row>
    <x:row r="87" ht="22" customHeight="1">
      <x:c r="A87" s="24" t="n">
        <x:v>2019</x:v>
      </x:c>
      <x:c r="B87" s="15" t="inlineStr">
        <x:is>
          <x:t xml:space="preserve">SPD</x:t>
        </x:is>
      </x:c>
      <x:c r="C87" s="15" t="inlineStr">
        <x:is>
          <x:t xml:space="preserve">S&amp;R</x:t>
        </x:is>
      </x:c>
      <x:c r="D87" s="16">
        <x:v>554</x:v>
      </x:c>
      <x:c r="E87" s="16">
        <x:v>9</x:v>
      </x:c>
      <x:c r="F87" s="16">
        <x:v>2791</x:v>
      </x:c>
      <x:c r="G87" s="16">
        <x:v>52</x:v>
      </x:c>
      <x:c r="H87" s="25">
        <x:f>E87/D87</x:f>
        <x:v>0.016245487364620937</x:v>
      </x:c>
      <x:c r="I87" s="25">
        <x:f>G87/F87</x:f>
        <x:v>0.018631314940881404</x:v>
      </x:c>
      <x:c r="J87" s="32">
        <x:f>(H87-I87)*100</x:f>
        <x:v>-0.23858275762604664</x:v>
      </x:c>
      <x:c r="K87"/>
    </x:row>
    <x:row r="88" ht="22" customHeight="1">
      <x:c r="A88" s="21" t="n">
        <x:v>2019</x:v>
      </x:c>
      <x:c r="B88" s="13" t="inlineStr">
        <x:is>
          <x:t xml:space="preserve">Grüne</x:t>
        </x:is>
      </x:c>
      <x:c r="C88" s="13" t="inlineStr">
        <x:is>
          <x:t xml:space="preserve">S&amp;R</x:t>
        </x:is>
      </x:c>
      <x:c r="D88" s="14">
        <x:v>329</x:v>
      </x:c>
      <x:c r="E88" s="14">
        <x:v>7</x:v>
      </x:c>
      <x:c r="F88" s="14">
        <x:v>2791</x:v>
      </x:c>
      <x:c r="G88" s="14">
        <x:v>52</x:v>
      </x:c>
      <x:c r="H88" s="22">
        <x:f>E88/D88</x:f>
        <x:v>0.02127659574468085</x:v>
      </x:c>
      <x:c r="I88" s="22">
        <x:f>G88/F88</x:f>
        <x:v>0.018631314940881404</x:v>
      </x:c>
      <x:c r="J88" s="31">
        <x:f>(H88-I88)*100</x:f>
        <x:v>0.2645280803799447</x:v>
      </x:c>
      <x:c r="K88"/>
    </x:row>
    <x:row r="89" ht="22" customHeight="1">
      <x:c r="A89" s="24" t="n">
        <x:v>2019</x:v>
      </x:c>
      <x:c r="B89" s="15" t="inlineStr">
        <x:is>
          <x:t xml:space="preserve">FDP</x:t>
        </x:is>
      </x:c>
      <x:c r="C89" s="15" t="inlineStr">
        <x:is>
          <x:t xml:space="preserve">S&amp;R</x:t>
        </x:is>
      </x:c>
      <x:c r="D89" s="16">
        <x:v>298</x:v>
      </x:c>
      <x:c r="E89" s="16">
        <x:v>5</x:v>
      </x:c>
      <x:c r="F89" s="16">
        <x:v>2791</x:v>
      </x:c>
      <x:c r="G89" s="16">
        <x:v>52</x:v>
      </x:c>
      <x:c r="H89" s="25">
        <x:f>E89/D89</x:f>
        <x:v>0.016778523489932886</x:v>
      </x:c>
      <x:c r="I89" s="25">
        <x:f>G89/F89</x:f>
        <x:v>0.018631314940881404</x:v>
      </x:c>
      <x:c r="J89" s="32">
        <x:f>(H89-I89)*100</x:f>
        <x:v>-0.18527914509485177</x:v>
      </x:c>
      <x:c r="K89"/>
    </x:row>
    <x:row r="90" ht="22" customHeight="1">
      <x:c r="A90" s="21" t="n">
        <x:v>2019</x:v>
      </x:c>
      <x:c r="B90" s="13" t="inlineStr">
        <x:is>
          <x:t xml:space="preserve">AfD</x:t>
        </x:is>
      </x:c>
      <x:c r="C90" s="13" t="inlineStr">
        <x:is>
          <x:t xml:space="preserve">S&amp;R</x:t>
        </x:is>
      </x:c>
      <x:c r="D90" s="14">
        <x:v>345</x:v>
      </x:c>
      <x:c r="E90" s="14">
        <x:v>6</x:v>
      </x:c>
      <x:c r="F90" s="14">
        <x:v>2791</x:v>
      </x:c>
      <x:c r="G90" s="14">
        <x:v>52</x:v>
      </x:c>
      <x:c r="H90" s="22">
        <x:f>E90/D90</x:f>
        <x:v>0.017391304347826087</x:v>
      </x:c>
      <x:c r="I90" s="22">
        <x:f>G90/F90</x:f>
        <x:v>0.018631314940881404</x:v>
      </x:c>
      <x:c r="J90" s="31">
        <x:f>(H90-I90)*100</x:f>
        <x:v>-0.12400105930553164</x:v>
      </x:c>
      <x:c r="K90"/>
    </x:row>
    <x:row r="91" ht="22" customHeight="1">
      <x:c r="A91" s="24" t="n">
        <x:v>2019</x:v>
      </x:c>
      <x:c r="B91" s="15" t="inlineStr">
        <x:is>
          <x:t xml:space="preserve">Die Linke</x:t>
        </x:is>
      </x:c>
      <x:c r="C91" s="15" t="inlineStr">
        <x:is>
          <x:t xml:space="preserve">S&amp;R</x:t>
        </x:is>
      </x:c>
      <x:c r="D91" s="16">
        <x:v>319</x:v>
      </x:c>
      <x:c r="E91" s="16">
        <x:v>5</x:v>
      </x:c>
      <x:c r="F91" s="16">
        <x:v>2791</x:v>
      </x:c>
      <x:c r="G91" s="16">
        <x:v>52</x:v>
      </x:c>
      <x:c r="H91" s="25">
        <x:f>E91/D91</x:f>
        <x:v>0.01567398119122257</x:v>
      </x:c>
      <x:c r="I91" s="25">
        <x:f>G91/F91</x:f>
        <x:v>0.018631314940881404</x:v>
      </x:c>
      <x:c r="J91" s="32">
        <x:f>(H91-I91)*100</x:f>
        <x:v>-0.2957333749658835</x:v>
      </x:c>
      <x:c r="K91"/>
    </x:row>
    <x:row r="92" ht="22" customHeight="1">
      <x:c r="A92" s="21" t="n">
        <x:v>2020</x:v>
      </x:c>
      <x:c r="B92" s="13" t="inlineStr">
        <x:is>
          <x:t xml:space="preserve">CDU/CSU</x:t>
        </x:is>
      </x:c>
      <x:c r="C92" s="13" t="inlineStr">
        <x:is>
          <x:t xml:space="preserve">Ökologie</x:t>
        </x:is>
      </x:c>
      <x:c r="D92" s="14">
        <x:v>1242</x:v>
      </x:c>
      <x:c r="E92" s="14">
        <x:v>277</x:v>
      </x:c>
      <x:c r="F92" s="14">
        <x:v>3133</x:v>
      </x:c>
      <x:c r="G92" s="14">
        <x:v>734</x:v>
      </x:c>
      <x:c r="H92" s="22">
        <x:f>E92/D92</x:f>
        <x:v>0.22302737520128824</x:v>
      </x:c>
      <x:c r="I92" s="22">
        <x:f>G92/F92</x:f>
        <x:v>0.23428024257899777</x:v>
      </x:c>
      <x:c r="J92" s="31">
        <x:f>(H92-I92)*100</x:f>
        <x:v>-1.125286737770953</x:v>
      </x:c>
      <x:c r="K92"/>
    </x:row>
    <x:row r="93" ht="22" customHeight="1">
      <x:c r="A93" s="24" t="n">
        <x:v>2020</x:v>
      </x:c>
      <x:c r="B93" s="15" t="inlineStr">
        <x:is>
          <x:t xml:space="preserve">SPD</x:t>
        </x:is>
      </x:c>
      <x:c r="C93" s="15" t="inlineStr">
        <x:is>
          <x:t xml:space="preserve">Ökologie</x:t>
        </x:is>
      </x:c>
      <x:c r="D93" s="16">
        <x:v>538</x:v>
      </x:c>
      <x:c r="E93" s="16">
        <x:v>102</x:v>
      </x:c>
      <x:c r="F93" s="16">
        <x:v>3133</x:v>
      </x:c>
      <x:c r="G93" s="16">
        <x:v>734</x:v>
      </x:c>
      <x:c r="H93" s="25">
        <x:f>E93/D93</x:f>
        <x:v>0.1895910780669145</x:v>
      </x:c>
      <x:c r="I93" s="25">
        <x:f>G93/F93</x:f>
        <x:v>0.23428024257899777</x:v>
      </x:c>
      <x:c r="J93" s="32">
        <x:f>(H93-I93)*100</x:f>
        <x:v>-4.468916451208327</x:v>
      </x:c>
      <x:c r="K93"/>
    </x:row>
    <x:row r="94" ht="22" customHeight="1">
      <x:c r="A94" s="21" t="n">
        <x:v>2020</x:v>
      </x:c>
      <x:c r="B94" s="13" t="inlineStr">
        <x:is>
          <x:t xml:space="preserve">Grüne</x:t>
        </x:is>
      </x:c>
      <x:c r="C94" s="13" t="inlineStr">
        <x:is>
          <x:t xml:space="preserve">Ökologie</x:t>
        </x:is>
      </x:c>
      <x:c r="D94" s="14">
        <x:v>330</x:v>
      </x:c>
      <x:c r="E94" s="14">
        <x:v>111</x:v>
      </x:c>
      <x:c r="F94" s="14">
        <x:v>3133</x:v>
      </x:c>
      <x:c r="G94" s="14">
        <x:v>734</x:v>
      </x:c>
      <x:c r="H94" s="22">
        <x:f>E94/D94</x:f>
        <x:v>0.33636363636363636</x:v>
      </x:c>
      <x:c r="I94" s="22">
        <x:f>G94/F94</x:f>
        <x:v>0.23428024257899777</x:v>
      </x:c>
      <x:c r="J94" s="31">
        <x:f>(H94-I94)*100</x:f>
        <x:v>10.20833937846386</x:v>
      </x:c>
      <x:c r="K94"/>
    </x:row>
    <x:row r="95" ht="22" customHeight="1">
      <x:c r="A95" s="24" t="n">
        <x:v>2020</x:v>
      </x:c>
      <x:c r="B95" s="15" t="inlineStr">
        <x:is>
          <x:t xml:space="preserve">FDP</x:t>
        </x:is>
      </x:c>
      <x:c r="C95" s="15" t="inlineStr">
        <x:is>
          <x:t xml:space="preserve">Ökologie</x:t>
        </x:is>
      </x:c>
      <x:c r="D95" s="16">
        <x:v>305</x:v>
      </x:c>
      <x:c r="E95" s="16">
        <x:v>78</x:v>
      </x:c>
      <x:c r="F95" s="16">
        <x:v>3133</x:v>
      </x:c>
      <x:c r="G95" s="16">
        <x:v>734</x:v>
      </x:c>
      <x:c r="H95" s="25">
        <x:f>E95/D95</x:f>
        <x:v>0.25573770491803277</x:v>
      </x:c>
      <x:c r="I95" s="25">
        <x:f>G95/F95</x:f>
        <x:v>0.23428024257899777</x:v>
      </x:c>
      <x:c r="J95" s="32">
        <x:f>(H95-I95)*100</x:f>
        <x:v>2.1457462339035005</x:v>
      </x:c>
      <x:c r="K95"/>
    </x:row>
    <x:row r="96" ht="22" customHeight="1">
      <x:c r="A96" s="21" t="n">
        <x:v>2020</x:v>
      </x:c>
      <x:c r="B96" s="13" t="inlineStr">
        <x:is>
          <x:t xml:space="preserve">AfD</x:t>
        </x:is>
      </x:c>
      <x:c r="C96" s="13" t="inlineStr">
        <x:is>
          <x:t xml:space="preserve">Ökologie</x:t>
        </x:is>
      </x:c>
      <x:c r="D96" s="14">
        <x:v>402</x:v>
      </x:c>
      <x:c r="E96" s="14">
        <x:v>86</x:v>
      </x:c>
      <x:c r="F96" s="14">
        <x:v>3133</x:v>
      </x:c>
      <x:c r="G96" s="14">
        <x:v>734</x:v>
      </x:c>
      <x:c r="H96" s="22">
        <x:f>E96/D96</x:f>
        <x:v>0.21393034825870647</x:v>
      </x:c>
      <x:c r="I96" s="22">
        <x:f>G96/F96</x:f>
        <x:v>0.23428024257899777</x:v>
      </x:c>
      <x:c r="J96" s="31">
        <x:f>(H96-I96)*100</x:f>
        <x:v>-2.03498943202913</x:v>
      </x:c>
      <x:c r="K96"/>
    </x:row>
    <x:row r="97" ht="22" customHeight="1">
      <x:c r="A97" s="24" t="n">
        <x:v>2020</x:v>
      </x:c>
      <x:c r="B97" s="15" t="inlineStr">
        <x:is>
          <x:t xml:space="preserve">Die Linke</x:t>
        </x:is>
      </x:c>
      <x:c r="C97" s="15" t="inlineStr">
        <x:is>
          <x:t xml:space="preserve">Ökologie</x:t>
        </x:is>
      </x:c>
      <x:c r="D97" s="16">
        <x:v>316</x:v>
      </x:c>
      <x:c r="E97" s="16">
        <x:v>80</x:v>
      </x:c>
      <x:c r="F97" s="16">
        <x:v>3133</x:v>
      </x:c>
      <x:c r="G97" s="16">
        <x:v>734</x:v>
      </x:c>
      <x:c r="H97" s="25">
        <x:f>E97/D97</x:f>
        <x:v>0.25316455696202533</x:v>
      </x:c>
      <x:c r="I97" s="25">
        <x:f>G97/F97</x:f>
        <x:v>0.23428024257899777</x:v>
      </x:c>
      <x:c r="J97" s="32">
        <x:f>(H97-I97)*100</x:f>
        <x:v>1.8884314383027567</x:v>
      </x:c>
      <x:c r="K97"/>
    </x:row>
    <x:row r="98" ht="22" customHeight="1">
      <x:c r="A98" s="21" t="n">
        <x:v>2020</x:v>
      </x:c>
      <x:c r="B98" s="13" t="inlineStr">
        <x:is>
          <x:t xml:space="preserve">CDU/CSU</x:t>
        </x:is>
      </x:c>
      <x:c r="C98" s="13" t="inlineStr">
        <x:is>
          <x:t xml:space="preserve">Ökonomie</x:t>
        </x:is>
      </x:c>
      <x:c r="D98" s="14">
        <x:v>1242</x:v>
      </x:c>
      <x:c r="E98" s="14">
        <x:v>164</x:v>
      </x:c>
      <x:c r="F98" s="14">
        <x:v>3133</x:v>
      </x:c>
      <x:c r="G98" s="14">
        <x:v>524</x:v>
      </x:c>
      <x:c r="H98" s="22">
        <x:f>E98/D98</x:f>
        <x:v>0.1320450885668277</x:v>
      </x:c>
      <x:c r="I98" s="22">
        <x:f>G98/F98</x:f>
        <x:v>0.16725183530162782</x:v>
      </x:c>
      <x:c r="J98" s="31">
        <x:f>(H98-I98)*100</x:f>
        <x:v>-3.520674673480012</x:v>
      </x:c>
      <x:c r="K98"/>
    </x:row>
    <x:row r="99" ht="22" customHeight="1">
      <x:c r="A99" s="24" t="n">
        <x:v>2020</x:v>
      </x:c>
      <x:c r="B99" s="15" t="inlineStr">
        <x:is>
          <x:t xml:space="preserve">SPD</x:t>
        </x:is>
      </x:c>
      <x:c r="C99" s="15" t="inlineStr">
        <x:is>
          <x:t xml:space="preserve">Ökonomie</x:t>
        </x:is>
      </x:c>
      <x:c r="D99" s="16">
        <x:v>538</x:v>
      </x:c>
      <x:c r="E99" s="16">
        <x:v>70</x:v>
      </x:c>
      <x:c r="F99" s="16">
        <x:v>3133</x:v>
      </x:c>
      <x:c r="G99" s="16">
        <x:v>524</x:v>
      </x:c>
      <x:c r="H99" s="25">
        <x:f>E99/D99</x:f>
        <x:v>0.13011152416356878</x:v>
      </x:c>
      <x:c r="I99" s="25">
        <x:f>G99/F99</x:f>
        <x:v>0.16725183530162782</x:v>
      </x:c>
      <x:c r="J99" s="32">
        <x:f>(H99-I99)*100</x:f>
        <x:v>-3.7140311138059046</x:v>
      </x:c>
      <x:c r="K99"/>
    </x:row>
    <x:row r="100" ht="22" customHeight="1">
      <x:c r="A100" s="21" t="n">
        <x:v>2020</x:v>
      </x:c>
      <x:c r="B100" s="13" t="inlineStr">
        <x:is>
          <x:t xml:space="preserve">Grüne</x:t>
        </x:is>
      </x:c>
      <x:c r="C100" s="13" t="inlineStr">
        <x:is>
          <x:t xml:space="preserve">Ökonomie</x:t>
        </x:is>
      </x:c>
      <x:c r="D100" s="14">
        <x:v>330</x:v>
      </x:c>
      <x:c r="E100" s="14">
        <x:v>59</x:v>
      </x:c>
      <x:c r="F100" s="14">
        <x:v>3133</x:v>
      </x:c>
      <x:c r="G100" s="14">
        <x:v>524</x:v>
      </x:c>
      <x:c r="H100" s="22">
        <x:f>E100/D100</x:f>
        <x:v>0.1787878787878788</x:v>
      </x:c>
      <x:c r="I100" s="22">
        <x:f>G100/F100</x:f>
        <x:v>0.16725183530162782</x:v>
      </x:c>
      <x:c r="J100" s="31">
        <x:f>(H100-I100)*100</x:f>
        <x:v>1.153604348625098</x:v>
      </x:c>
      <x:c r="K100"/>
    </x:row>
    <x:row r="101" ht="22" customHeight="1">
      <x:c r="A101" s="24" t="n">
        <x:v>2020</x:v>
      </x:c>
      <x:c r="B101" s="15" t="inlineStr">
        <x:is>
          <x:t xml:space="preserve">FDP</x:t>
        </x:is>
      </x:c>
      <x:c r="C101" s="15" t="inlineStr">
        <x:is>
          <x:t xml:space="preserve">Ökonomie</x:t>
        </x:is>
      </x:c>
      <x:c r="D101" s="16">
        <x:v>305</x:v>
      </x:c>
      <x:c r="E101" s="16">
        <x:v>58</x:v>
      </x:c>
      <x:c r="F101" s="16">
        <x:v>3133</x:v>
      </x:c>
      <x:c r="G101" s="16">
        <x:v>524</x:v>
      </x:c>
      <x:c r="H101" s="25">
        <x:f>E101/D101</x:f>
        <x:v>0.1901639344262295</x:v>
      </x:c>
      <x:c r="I101" s="25">
        <x:f>G101/F101</x:f>
        <x:v>0.16725183530162782</x:v>
      </x:c>
      <x:c r="J101" s="32">
        <x:f>(H101-I101)*100</x:f>
        <x:v>2.291209912460168</x:v>
      </x:c>
      <x:c r="K101"/>
    </x:row>
    <x:row r="102" ht="22" customHeight="1">
      <x:c r="A102" s="21" t="n">
        <x:v>2020</x:v>
      </x:c>
      <x:c r="B102" s="13" t="inlineStr">
        <x:is>
          <x:t xml:space="preserve">AfD</x:t>
        </x:is>
      </x:c>
      <x:c r="C102" s="13" t="inlineStr">
        <x:is>
          <x:t xml:space="preserve">Ökonomie</x:t>
        </x:is>
      </x:c>
      <x:c r="D102" s="14">
        <x:v>402</x:v>
      </x:c>
      <x:c r="E102" s="14">
        <x:v>95</x:v>
      </x:c>
      <x:c r="F102" s="14">
        <x:v>3133</x:v>
      </x:c>
      <x:c r="G102" s="14">
        <x:v>524</x:v>
      </x:c>
      <x:c r="H102" s="22">
        <x:f>E102/D102</x:f>
        <x:v>0.236318407960199</x:v>
      </x:c>
      <x:c r="I102" s="22">
        <x:f>G102/F102</x:f>
        <x:v>0.16725183530162782</x:v>
      </x:c>
      <x:c r="J102" s="31">
        <x:f>(H102-I102)*100</x:f>
        <x:v>6.906657265857119</x:v>
      </x:c>
      <x:c r="K102"/>
    </x:row>
    <x:row r="103" ht="22" customHeight="1">
      <x:c r="A103" s="24" t="n">
        <x:v>2020</x:v>
      </x:c>
      <x:c r="B103" s="15" t="inlineStr">
        <x:is>
          <x:t xml:space="preserve">Die Linke</x:t>
        </x:is>
      </x:c>
      <x:c r="C103" s="15" t="inlineStr">
        <x:is>
          <x:t xml:space="preserve">Ökonomie</x:t>
        </x:is>
      </x:c>
      <x:c r="D103" s="16">
        <x:v>316</x:v>
      </x:c>
      <x:c r="E103" s="16">
        <x:v>78</x:v>
      </x:c>
      <x:c r="F103" s="16">
        <x:v>3133</x:v>
      </x:c>
      <x:c r="G103" s="16">
        <x:v>524</x:v>
      </x:c>
      <x:c r="H103" s="25">
        <x:f>E103/D103</x:f>
        <x:v>0.2468354430379747</x:v>
      </x:c>
      <x:c r="I103" s="25">
        <x:f>G103/F103</x:f>
        <x:v>0.16725183530162782</x:v>
      </x:c>
      <x:c r="J103" s="32">
        <x:f>(H103-I103)*100</x:f>
        <x:v>7.958360773634688</x:v>
      </x:c>
      <x:c r="K103"/>
    </x:row>
    <x:row r="104" ht="22" customHeight="1">
      <x:c r="A104" s="21" t="n">
        <x:v>2020</x:v>
      </x:c>
      <x:c r="B104" s="13" t="inlineStr">
        <x:is>
          <x:t xml:space="preserve">CDU/CSU</x:t>
        </x:is>
      </x:c>
      <x:c r="C104" s="13" t="inlineStr">
        <x:is>
          <x:t xml:space="preserve">S&amp;R</x:t>
        </x:is>
      </x:c>
      <x:c r="D104" s="14">
        <x:v>1242</x:v>
      </x:c>
      <x:c r="E104" s="14">
        <x:v>23</x:v>
      </x:c>
      <x:c r="F104" s="14">
        <x:v>3133</x:v>
      </x:c>
      <x:c r="G104" s="14">
        <x:v>79</x:v>
      </x:c>
      <x:c r="H104" s="22">
        <x:f>E104/D104</x:f>
        <x:v>0.018518518518518517</x:v>
      </x:c>
      <x:c r="I104" s="22">
        <x:f>G104/F104</x:f>
        <x:v>0.025215448451962975</x:v>
      </x:c>
      <x:c r="J104" s="31">
        <x:f>(H104-I104)*100</x:f>
        <x:v>-0.6696929933444458</x:v>
      </x:c>
      <x:c r="K104"/>
    </x:row>
    <x:row r="105" ht="22" customHeight="1">
      <x:c r="A105" s="24" t="n">
        <x:v>2020</x:v>
      </x:c>
      <x:c r="B105" s="15" t="inlineStr">
        <x:is>
          <x:t xml:space="preserve">SPD</x:t>
        </x:is>
      </x:c>
      <x:c r="C105" s="15" t="inlineStr">
        <x:is>
          <x:t xml:space="preserve">S&amp;R</x:t>
        </x:is>
      </x:c>
      <x:c r="D105" s="16">
        <x:v>538</x:v>
      </x:c>
      <x:c r="E105" s="16">
        <x:v>14</x:v>
      </x:c>
      <x:c r="F105" s="16">
        <x:v>3133</x:v>
      </x:c>
      <x:c r="G105" s="16">
        <x:v>79</x:v>
      </x:c>
      <x:c r="H105" s="25">
        <x:f>E105/D105</x:f>
        <x:v>0.026022304832713755</x:v>
      </x:c>
      <x:c r="I105" s="25">
        <x:f>G105/F105</x:f>
        <x:v>0.025215448451962975</x:v>
      </x:c>
      <x:c r="J105" s="32">
        <x:f>(H105-I105)*100</x:f>
        <x:v>0.08068563807507798</x:v>
      </x:c>
      <x:c r="K105"/>
    </x:row>
    <x:row r="106" ht="22" customHeight="1">
      <x:c r="A106" s="21" t="n">
        <x:v>2020</x:v>
      </x:c>
      <x:c r="B106" s="13" t="inlineStr">
        <x:is>
          <x:t xml:space="preserve">Grüne</x:t>
        </x:is>
      </x:c>
      <x:c r="C106" s="13" t="inlineStr">
        <x:is>
          <x:t xml:space="preserve">S&amp;R</x:t>
        </x:is>
      </x:c>
      <x:c r="D106" s="14">
        <x:v>330</x:v>
      </x:c>
      <x:c r="E106" s="14">
        <x:v>8</x:v>
      </x:c>
      <x:c r="F106" s="14">
        <x:v>3133</x:v>
      </x:c>
      <x:c r="G106" s="14">
        <x:v>79</x:v>
      </x:c>
      <x:c r="H106" s="22">
        <x:f>E106/D106</x:f>
        <x:v>0.024242424242424242</x:v>
      </x:c>
      <x:c r="I106" s="22">
        <x:f>G106/F106</x:f>
        <x:v>0.025215448451962975</x:v>
      </x:c>
      <x:c r="J106" s="31">
        <x:f>(H106-I106)*100</x:f>
        <x:v>-0.0973024209538733</x:v>
      </x:c>
      <x:c r="K106"/>
    </x:row>
    <x:row r="107" ht="22" customHeight="1">
      <x:c r="A107" s="24" t="n">
        <x:v>2020</x:v>
      </x:c>
      <x:c r="B107" s="15" t="inlineStr">
        <x:is>
          <x:t xml:space="preserve">FDP</x:t>
        </x:is>
      </x:c>
      <x:c r="C107" s="15" t="inlineStr">
        <x:is>
          <x:t xml:space="preserve">S&amp;R</x:t>
        </x:is>
      </x:c>
      <x:c r="D107" s="16">
        <x:v>305</x:v>
      </x:c>
      <x:c r="E107" s="16">
        <x:v>11</x:v>
      </x:c>
      <x:c r="F107" s="16">
        <x:v>3133</x:v>
      </x:c>
      <x:c r="G107" s="16">
        <x:v>79</x:v>
      </x:c>
      <x:c r="H107" s="25">
        <x:f>E107/D107</x:f>
        <x:v>0.036065573770491806</x:v>
      </x:c>
      <x:c r="I107" s="25">
        <x:f>G107/F107</x:f>
        <x:v>0.025215448451962975</x:v>
      </x:c>
      <x:c r="J107" s="32">
        <x:f>(H107-I107)*100</x:f>
        <x:v>1.085012531852883</x:v>
      </x:c>
      <x:c r="K107"/>
    </x:row>
    <x:row r="108" ht="22" customHeight="1">
      <x:c r="A108" s="21" t="n">
        <x:v>2020</x:v>
      </x:c>
      <x:c r="B108" s="13" t="inlineStr">
        <x:is>
          <x:t xml:space="preserve">AfD</x:t>
        </x:is>
      </x:c>
      <x:c r="C108" s="13" t="inlineStr">
        <x:is>
          <x:t xml:space="preserve">S&amp;R</x:t>
        </x:is>
      </x:c>
      <x:c r="D108" s="14">
        <x:v>402</x:v>
      </x:c>
      <x:c r="E108" s="14">
        <x:v>15</x:v>
      </x:c>
      <x:c r="F108" s="14">
        <x:v>3133</x:v>
      </x:c>
      <x:c r="G108" s="14">
        <x:v>79</x:v>
      </x:c>
      <x:c r="H108" s="22">
        <x:f>E108/D108</x:f>
        <x:v>0.03731343283582089</x:v>
      </x:c>
      <x:c r="I108" s="22">
        <x:f>G108/F108</x:f>
        <x:v>0.025215448451962975</x:v>
      </x:c>
      <x:c r="J108" s="31">
        <x:f>(H108-I108)*100</x:f>
        <x:v>1.2097984383857916</x:v>
      </x:c>
      <x:c r="K108"/>
    </x:row>
    <x:row r="109" ht="22" customHeight="1">
      <x:c r="A109" s="24" t="n">
        <x:v>2020</x:v>
      </x:c>
      <x:c r="B109" s="15" t="inlineStr">
        <x:is>
          <x:t xml:space="preserve">Die Linke</x:t>
        </x:is>
      </x:c>
      <x:c r="C109" s="15" t="inlineStr">
        <x:is>
          <x:t xml:space="preserve">S&amp;R</x:t>
        </x:is>
      </x:c>
      <x:c r="D109" s="16">
        <x:v>316</x:v>
      </x:c>
      <x:c r="E109" s="16">
        <x:v>8</x:v>
      </x:c>
      <x:c r="F109" s="16">
        <x:v>3133</x:v>
      </x:c>
      <x:c r="G109" s="16">
        <x:v>79</x:v>
      </x:c>
      <x:c r="H109" s="25">
        <x:f>E109/D109</x:f>
        <x:v>0.02531645569620253</x:v>
      </x:c>
      <x:c r="I109" s="25">
        <x:f>G109/F109</x:f>
        <x:v>0.025215448451962975</x:v>
      </x:c>
      <x:c r="J109" s="32">
        <x:f>(H109-I109)*100</x:f>
        <x:v>0.010100724423955584</x:v>
      </x:c>
      <x:c r="K109"/>
    </x:row>
    <x:row r="110" ht="22" customHeight="1">
      <x:c r="A110" s="21" t="n">
        <x:v>2021</x:v>
      </x:c>
      <x:c r="B110" s="13" t="inlineStr">
        <x:is>
          <x:t xml:space="preserve">CDU/CSU</x:t>
        </x:is>
      </x:c>
      <x:c r="C110" s="13" t="inlineStr">
        <x:is>
          <x:t xml:space="preserve">Ökologie</x:t>
        </x:is>
      </x:c>
      <x:c r="D110" s="14">
        <x:v>1012</x:v>
      </x:c>
      <x:c r="E110" s="14">
        <x:v>386</x:v>
      </x:c>
      <x:c r="F110" s="14">
        <x:v>2317</x:v>
      </x:c>
      <x:c r="G110" s="14">
        <x:v>798</x:v>
      </x:c>
      <x:c r="H110" s="22">
        <x:f>E110/D110</x:f>
        <x:v>0.3814229249011858</x:v>
      </x:c>
      <x:c r="I110" s="22">
        <x:f>G110/F110</x:f>
        <x:v>0.34441087613293053</x:v>
      </x:c>
      <x:c r="J110" s="31">
        <x:f>(H110-I110)*100</x:f>
        <x:v>3.7012048768255257</x:v>
      </x:c>
      <x:c r="K110"/>
    </x:row>
    <x:row r="111" ht="22" customHeight="1">
      <x:c r="A111" s="24" t="n">
        <x:v>2021</x:v>
      </x:c>
      <x:c r="B111" s="15" t="inlineStr">
        <x:is>
          <x:t xml:space="preserve">SPD</x:t>
        </x:is>
      </x:c>
      <x:c r="C111" s="15" t="inlineStr">
        <x:is>
          <x:t xml:space="preserve">Ökologie</x:t>
        </x:is>
      </x:c>
      <x:c r="D111" s="16">
        <x:v>392</x:v>
      </x:c>
      <x:c r="E111" s="16">
        <x:v>139</x:v>
      </x:c>
      <x:c r="F111" s="16">
        <x:v>2317</x:v>
      </x:c>
      <x:c r="G111" s="16">
        <x:v>798</x:v>
      </x:c>
      <x:c r="H111" s="25">
        <x:f>E111/D111</x:f>
        <x:v>0.35459183673469385</x:v>
      </x:c>
      <x:c r="I111" s="25">
        <x:f>G111/F111</x:f>
        <x:v>0.34441087613293053</x:v>
      </x:c>
      <x:c r="J111" s="32">
        <x:f>(H111-I111)*100</x:f>
        <x:v>1.0180960601763323</x:v>
      </x:c>
      <x:c r="K111"/>
    </x:row>
    <x:row r="112" ht="22" customHeight="1">
      <x:c r="A112" s="21" t="n">
        <x:v>2021</x:v>
      </x:c>
      <x:c r="B112" s="13" t="inlineStr">
        <x:is>
          <x:t xml:space="preserve">Grüne</x:t>
        </x:is>
      </x:c>
      <x:c r="C112" s="13" t="inlineStr">
        <x:is>
          <x:t xml:space="preserve">Ökologie</x:t>
        </x:is>
      </x:c>
      <x:c r="D112" s="14">
        <x:v>258</x:v>
      </x:c>
      <x:c r="E112" s="14">
        <x:v>95</x:v>
      </x:c>
      <x:c r="F112" s="14">
        <x:v>2317</x:v>
      </x:c>
      <x:c r="G112" s="14">
        <x:v>798</x:v>
      </x:c>
      <x:c r="H112" s="22">
        <x:f>E112/D112</x:f>
        <x:v>0.3682170542635659</x:v>
      </x:c>
      <x:c r="I112" s="22">
        <x:f>G112/F112</x:f>
        <x:v>0.34441087613293053</x:v>
      </x:c>
      <x:c r="J112" s="31">
        <x:f>(H112-I112)*100</x:f>
        <x:v>2.3806178130635347</x:v>
      </x:c>
      <x:c r="K112"/>
    </x:row>
    <x:row r="113" ht="22" customHeight="1">
      <x:c r="A113" s="24" t="n">
        <x:v>2021</x:v>
      </x:c>
      <x:c r="B113" s="15" t="inlineStr">
        <x:is>
          <x:t xml:space="preserve">FDP</x:t>
        </x:is>
      </x:c>
      <x:c r="C113" s="15" t="inlineStr">
        <x:is>
          <x:t xml:space="preserve">Ökologie</x:t>
        </x:is>
      </x:c>
      <x:c r="D113" s="16">
        <x:v>183</x:v>
      </x:c>
      <x:c r="E113" s="16">
        <x:v>53</x:v>
      </x:c>
      <x:c r="F113" s="16">
        <x:v>2317</x:v>
      </x:c>
      <x:c r="G113" s="16">
        <x:v>798</x:v>
      </x:c>
      <x:c r="H113" s="25">
        <x:f>E113/D113</x:f>
        <x:v>0.2896174863387978</x:v>
      </x:c>
      <x:c r="I113" s="25">
        <x:f>G113/F113</x:f>
        <x:v>0.34441087613293053</x:v>
      </x:c>
      <x:c r="J113" s="32">
        <x:f>(H113-I113)*100</x:f>
        <x:v>-5.4793389794132725</x:v>
      </x:c>
      <x:c r="K113"/>
    </x:row>
    <x:row r="114" ht="22" customHeight="1">
      <x:c r="A114" s="21" t="n">
        <x:v>2021</x:v>
      </x:c>
      <x:c r="B114" s="13" t="inlineStr">
        <x:is>
          <x:t xml:space="preserve">AfD</x:t>
        </x:is>
      </x:c>
      <x:c r="C114" s="13" t="inlineStr">
        <x:is>
          <x:t xml:space="preserve">Ökologie</x:t>
        </x:is>
      </x:c>
      <x:c r="D114" s="14">
        <x:v>274</x:v>
      </x:c>
      <x:c r="E114" s="14">
        <x:v>56</x:v>
      </x:c>
      <x:c r="F114" s="14">
        <x:v>2317</x:v>
      </x:c>
      <x:c r="G114" s="14">
        <x:v>798</x:v>
      </x:c>
      <x:c r="H114" s="22">
        <x:f>E114/D114</x:f>
        <x:v>0.20437956204379562</x:v>
      </x:c>
      <x:c r="I114" s="22">
        <x:f>G114/F114</x:f>
        <x:v>0.34441087613293053</x:v>
      </x:c>
      <x:c r="J114" s="31">
        <x:f>(H114-I114)*100</x:f>
        <x:v>-14.003131408913491</x:v>
      </x:c>
      <x:c r="K114"/>
    </x:row>
    <x:row r="115" ht="22" customHeight="1">
      <x:c r="A115" s="24" t="n">
        <x:v>2021</x:v>
      </x:c>
      <x:c r="B115" s="15" t="inlineStr">
        <x:is>
          <x:t xml:space="preserve">Die Linke</x:t>
        </x:is>
      </x:c>
      <x:c r="C115" s="15" t="inlineStr">
        <x:is>
          <x:t xml:space="preserve">Ökologie</x:t>
        </x:is>
      </x:c>
      <x:c r="D115" s="16">
        <x:v>198</x:v>
      </x:c>
      <x:c r="E115" s="16">
        <x:v>69</x:v>
      </x:c>
      <x:c r="F115" s="16">
        <x:v>2317</x:v>
      </x:c>
      <x:c r="G115" s="16">
        <x:v>798</x:v>
      </x:c>
      <x:c r="H115" s="25">
        <x:f>E115/D115</x:f>
        <x:v>0.3484848484848485</x:v>
      </x:c>
      <x:c r="I115" s="25">
        <x:f>G115/F115</x:f>
        <x:v>0.34441087613293053</x:v>
      </x:c>
      <x:c r="J115" s="32">
        <x:f>(H115-I115)*100</x:f>
        <x:v>0.4073972351917976</x:v>
      </x:c>
      <x:c r="K115"/>
    </x:row>
    <x:row r="116" ht="22" customHeight="1">
      <x:c r="A116" s="21" t="n">
        <x:v>2021</x:v>
      </x:c>
      <x:c r="B116" s="13" t="inlineStr">
        <x:is>
          <x:t xml:space="preserve">CDU/CSU</x:t>
        </x:is>
      </x:c>
      <x:c r="C116" s="13" t="inlineStr">
        <x:is>
          <x:t xml:space="preserve">Ökonomie</x:t>
        </x:is>
      </x:c>
      <x:c r="D116" s="14">
        <x:v>1012</x:v>
      </x:c>
      <x:c r="E116" s="14">
        <x:v>204</x:v>
      </x:c>
      <x:c r="F116" s="14">
        <x:v>2317</x:v>
      </x:c>
      <x:c r="G116" s="14">
        <x:v>520</x:v>
      </x:c>
      <x:c r="H116" s="22">
        <x:f>E116/D116</x:f>
        <x:v>0.2015810276679842</x:v>
      </x:c>
      <x:c r="I116" s="22">
        <x:f>G116/F116</x:f>
        <x:v>0.22442813983599483</x:v>
      </x:c>
      <x:c r="J116" s="31">
        <x:f>(H116-I116)*100</x:f>
        <x:v>-2.2847112168010635</x:v>
      </x:c>
      <x:c r="K116"/>
    </x:row>
    <x:row r="117" ht="22" customHeight="1">
      <x:c r="A117" s="24" t="n">
        <x:v>2021</x:v>
      </x:c>
      <x:c r="B117" s="15" t="inlineStr">
        <x:is>
          <x:t xml:space="preserve">SPD</x:t>
        </x:is>
      </x:c>
      <x:c r="C117" s="15" t="inlineStr">
        <x:is>
          <x:t xml:space="preserve">Ökonomie</x:t>
        </x:is>
      </x:c>
      <x:c r="D117" s="16">
        <x:v>392</x:v>
      </x:c>
      <x:c r="E117" s="16">
        <x:v>75</x:v>
      </x:c>
      <x:c r="F117" s="16">
        <x:v>2317</x:v>
      </x:c>
      <x:c r="G117" s="16">
        <x:v>520</x:v>
      </x:c>
      <x:c r="H117" s="25">
        <x:f>E117/D117</x:f>
        <x:v>0.1913265306122449</x:v>
      </x:c>
      <x:c r="I117" s="25">
        <x:f>G117/F117</x:f>
        <x:v>0.22442813983599483</x:v>
      </x:c>
      <x:c r="J117" s="32">
        <x:f>(H117-I117)*100</x:f>
        <x:v>-3.310160922374994</x:v>
      </x:c>
      <x:c r="K117"/>
    </x:row>
    <x:row r="118" ht="22" customHeight="1">
      <x:c r="A118" s="21" t="n">
        <x:v>2021</x:v>
      </x:c>
      <x:c r="B118" s="13" t="inlineStr">
        <x:is>
          <x:t xml:space="preserve">Grüne</x:t>
        </x:is>
      </x:c>
      <x:c r="C118" s="13" t="inlineStr">
        <x:is>
          <x:t xml:space="preserve">Ökonomie</x:t>
        </x:is>
      </x:c>
      <x:c r="D118" s="14">
        <x:v>258</x:v>
      </x:c>
      <x:c r="E118" s="14">
        <x:v>54</x:v>
      </x:c>
      <x:c r="F118" s="14">
        <x:v>2317</x:v>
      </x:c>
      <x:c r="G118" s="14">
        <x:v>520</x:v>
      </x:c>
      <x:c r="H118" s="22">
        <x:f>E118/D118</x:f>
        <x:v>0.20930232558139536</x:v>
      </x:c>
      <x:c r="I118" s="22">
        <x:f>G118/F118</x:f>
        <x:v>0.22442813983599483</x:v>
      </x:c>
      <x:c r="J118" s="31">
        <x:f>(H118-I118)*100</x:f>
        <x:v>-1.5125814254599468</x:v>
      </x:c>
      <x:c r="K118"/>
    </x:row>
    <x:row r="119" ht="22" customHeight="1">
      <x:c r="A119" s="24" t="n">
        <x:v>2021</x:v>
      </x:c>
      <x:c r="B119" s="15" t="inlineStr">
        <x:is>
          <x:t xml:space="preserve">FDP</x:t>
        </x:is>
      </x:c>
      <x:c r="C119" s="15" t="inlineStr">
        <x:is>
          <x:t xml:space="preserve">Ökonomie</x:t>
        </x:is>
      </x:c>
      <x:c r="D119" s="16">
        <x:v>183</x:v>
      </x:c>
      <x:c r="E119" s="16">
        <x:v>47</x:v>
      </x:c>
      <x:c r="F119" s="16">
        <x:v>2317</x:v>
      </x:c>
      <x:c r="G119" s="16">
        <x:v>520</x:v>
      </x:c>
      <x:c r="H119" s="25">
        <x:f>E119/D119</x:f>
        <x:v>0.2568306010928962</x:v>
      </x:c>
      <x:c r="I119" s="25">
        <x:f>G119/F119</x:f>
        <x:v>0.22442813983599483</x:v>
      </x:c>
      <x:c r="J119" s="32">
        <x:f>(H119-I119)*100</x:f>
        <x:v>3.2402461256901356</x:v>
      </x:c>
      <x:c r="K119"/>
    </x:row>
    <x:row r="120" ht="22" customHeight="1">
      <x:c r="A120" s="21" t="n">
        <x:v>2021</x:v>
      </x:c>
      <x:c r="B120" s="13" t="inlineStr">
        <x:is>
          <x:t xml:space="preserve">AfD</x:t>
        </x:is>
      </x:c>
      <x:c r="C120" s="13" t="inlineStr">
        <x:is>
          <x:t xml:space="preserve">Ökonomie</x:t>
        </x:is>
      </x:c>
      <x:c r="D120" s="14">
        <x:v>274</x:v>
      </x:c>
      <x:c r="E120" s="14">
        <x:v>79</x:v>
      </x:c>
      <x:c r="F120" s="14">
        <x:v>2317</x:v>
      </x:c>
      <x:c r="G120" s="14">
        <x:v>520</x:v>
      </x:c>
      <x:c r="H120" s="22">
        <x:f>E120/D120</x:f>
        <x:v>0.28832116788321166</x:v>
      </x:c>
      <x:c r="I120" s="22">
        <x:f>G120/F120</x:f>
        <x:v>0.22442813983599483</x:v>
      </x:c>
      <x:c r="J120" s="31">
        <x:f>(H120-I120)*100</x:f>
        <x:v>6.389302804721683</x:v>
      </x:c>
      <x:c r="K120"/>
    </x:row>
    <x:row r="121" ht="22" customHeight="1">
      <x:c r="A121" s="24" t="n">
        <x:v>2021</x:v>
      </x:c>
      <x:c r="B121" s="15" t="inlineStr">
        <x:is>
          <x:t xml:space="preserve">Die Linke</x:t>
        </x:is>
      </x:c>
      <x:c r="C121" s="15" t="inlineStr">
        <x:is>
          <x:t xml:space="preserve">Ökonomie</x:t>
        </x:is>
      </x:c>
      <x:c r="D121" s="16">
        <x:v>198</x:v>
      </x:c>
      <x:c r="E121" s="16">
        <x:v>61</x:v>
      </x:c>
      <x:c r="F121" s="16">
        <x:v>2317</x:v>
      </x:c>
      <x:c r="G121" s="16">
        <x:v>520</x:v>
      </x:c>
      <x:c r="H121" s="25">
        <x:f>E121/D121</x:f>
        <x:v>0.30808080808080807</x:v>
      </x:c>
      <x:c r="I121" s="25">
        <x:f>G121/F121</x:f>
        <x:v>0.22442813983599483</x:v>
      </x:c>
      <x:c r="J121" s="32">
        <x:f>(H121-I121)*100</x:f>
        <x:v>8.365266824481324</x:v>
      </x:c>
      <x:c r="K121"/>
    </x:row>
    <x:row r="122" ht="22" customHeight="1">
      <x:c r="A122" s="21" t="n">
        <x:v>2021</x:v>
      </x:c>
      <x:c r="B122" s="13" t="inlineStr">
        <x:is>
          <x:t xml:space="preserve">CDU/CSU</x:t>
        </x:is>
      </x:c>
      <x:c r="C122" s="13" t="inlineStr">
        <x:is>
          <x:t xml:space="preserve">S&amp;R</x:t>
        </x:is>
      </x:c>
      <x:c r="D122" s="14">
        <x:v>1012</x:v>
      </x:c>
      <x:c r="E122" s="14">
        <x:v>34</x:v>
      </x:c>
      <x:c r="F122" s="14">
        <x:v>2317</x:v>
      </x:c>
      <x:c r="G122" s="14">
        <x:v>59</x:v>
      </x:c>
      <x:c r="H122" s="22">
        <x:f>E122/D122</x:f>
        <x:v>0.03359683794466403</x:v>
      </x:c>
      <x:c r="I122" s="22">
        <x:f>G122/F122</x:f>
        <x:v>0.025463962019853258</x:v>
      </x:c>
      <x:c r="J122" s="31">
        <x:f>(H122-I122)*100</x:f>
        <x:v>0.8132875924810774</x:v>
      </x:c>
      <x:c r="K122"/>
    </x:row>
    <x:row r="123" ht="22" customHeight="1">
      <x:c r="A123" s="24" t="n">
        <x:v>2021</x:v>
      </x:c>
      <x:c r="B123" s="15" t="inlineStr">
        <x:is>
          <x:t xml:space="preserve">SPD</x:t>
        </x:is>
      </x:c>
      <x:c r="C123" s="15" t="inlineStr">
        <x:is>
          <x:t xml:space="preserve">S&amp;R</x:t>
        </x:is>
      </x:c>
      <x:c r="D123" s="16">
        <x:v>392</x:v>
      </x:c>
      <x:c r="E123" s="16">
        <x:v>3</x:v>
      </x:c>
      <x:c r="F123" s="16">
        <x:v>2317</x:v>
      </x:c>
      <x:c r="G123" s="16">
        <x:v>59</x:v>
      </x:c>
      <x:c r="H123" s="25">
        <x:f>E123/D123</x:f>
        <x:v>0.007653061224489796</x:v>
      </x:c>
      <x:c r="I123" s="25">
        <x:f>G123/F123</x:f>
        <x:v>0.025463962019853258</x:v>
      </x:c>
      <x:c r="J123" s="32">
        <x:f>(H123-I123)*100</x:f>
        <x:v>-1.781090079536346</x:v>
      </x:c>
      <x:c r="K123"/>
    </x:row>
    <x:row r="124" ht="22" customHeight="1">
      <x:c r="A124" s="21" t="n">
        <x:v>2021</x:v>
      </x:c>
      <x:c r="B124" s="13" t="inlineStr">
        <x:is>
          <x:t xml:space="preserve">Grüne</x:t>
        </x:is>
      </x:c>
      <x:c r="C124" s="13" t="inlineStr">
        <x:is>
          <x:t xml:space="preserve">S&amp;R</x:t>
        </x:is>
      </x:c>
      <x:c r="D124" s="14">
        <x:v>258</x:v>
      </x:c>
      <x:c r="E124" s="14">
        <x:v>2</x:v>
      </x:c>
      <x:c r="F124" s="14">
        <x:v>2317</x:v>
      </x:c>
      <x:c r="G124" s="14">
        <x:v>59</x:v>
      </x:c>
      <x:c r="H124" s="22">
        <x:f>E124/D124</x:f>
        <x:v>0.007751937984496124</x:v>
      </x:c>
      <x:c r="I124" s="22">
        <x:f>G124/F124</x:f>
        <x:v>0.025463962019853258</x:v>
      </x:c>
      <x:c r="J124" s="31">
        <x:f>(H124-I124)*100</x:f>
        <x:v>-1.7712024035357135</x:v>
      </x:c>
      <x:c r="K124"/>
    </x:row>
    <x:row r="125" ht="22" customHeight="1">
      <x:c r="A125" s="24" t="n">
        <x:v>2021</x:v>
      </x:c>
      <x:c r="B125" s="15" t="inlineStr">
        <x:is>
          <x:t xml:space="preserve">FDP</x:t>
        </x:is>
      </x:c>
      <x:c r="C125" s="15" t="inlineStr">
        <x:is>
          <x:t xml:space="preserve">S&amp;R</x:t>
        </x:is>
      </x:c>
      <x:c r="D125" s="16">
        <x:v>183</x:v>
      </x:c>
      <x:c r="E125" s="16">
        <x:v>6</x:v>
      </x:c>
      <x:c r="F125" s="16">
        <x:v>2317</x:v>
      </x:c>
      <x:c r="G125" s="16">
        <x:v>59</x:v>
      </x:c>
      <x:c r="H125" s="25">
        <x:f>E125/D125</x:f>
        <x:v>0.03278688524590164</x:v>
      </x:c>
      <x:c r="I125" s="25">
        <x:f>G125/F125</x:f>
        <x:v>0.025463962019853258</x:v>
      </x:c>
      <x:c r="J125" s="32">
        <x:f>(H125-I125)*100</x:f>
        <x:v>0.7322923226048383</x:v>
      </x:c>
      <x:c r="K125"/>
    </x:row>
    <x:row r="126" ht="22" customHeight="1">
      <x:c r="A126" s="21" t="n">
        <x:v>2021</x:v>
      </x:c>
      <x:c r="B126" s="13" t="inlineStr">
        <x:is>
          <x:t xml:space="preserve">AfD</x:t>
        </x:is>
      </x:c>
      <x:c r="C126" s="13" t="inlineStr">
        <x:is>
          <x:t xml:space="preserve">S&amp;R</x:t>
        </x:is>
      </x:c>
      <x:c r="D126" s="14">
        <x:v>274</x:v>
      </x:c>
      <x:c r="E126" s="14">
        <x:v>9</x:v>
      </x:c>
      <x:c r="F126" s="14">
        <x:v>2317</x:v>
      </x:c>
      <x:c r="G126" s="14">
        <x:v>59</x:v>
      </x:c>
      <x:c r="H126" s="22">
        <x:f>E126/D126</x:f>
        <x:v>0.032846715328467155</x:v>
      </x:c>
      <x:c r="I126" s="22">
        <x:f>G126/F126</x:f>
        <x:v>0.025463962019853258</x:v>
      </x:c>
      <x:c r="J126" s="31">
        <x:f>(H126-I126)*100</x:f>
        <x:v>0.7382753308613897</x:v>
      </x:c>
      <x:c r="K126"/>
    </x:row>
    <x:row r="127" ht="22" customHeight="1">
      <x:c r="A127" s="24" t="n">
        <x:v>2021</x:v>
      </x:c>
      <x:c r="B127" s="15" t="inlineStr">
        <x:is>
          <x:t xml:space="preserve">Die Linke</x:t>
        </x:is>
      </x:c>
      <x:c r="C127" s="15" t="inlineStr">
        <x:is>
          <x:t xml:space="preserve">S&amp;R</x:t>
        </x:is>
      </x:c>
      <x:c r="D127" s="16">
        <x:v>198</x:v>
      </x:c>
      <x:c r="E127" s="16">
        <x:v>5</x:v>
      </x:c>
      <x:c r="F127" s="16">
        <x:v>2317</x:v>
      </x:c>
      <x:c r="G127" s="16">
        <x:v>59</x:v>
      </x:c>
      <x:c r="H127" s="25">
        <x:f>E127/D127</x:f>
        <x:v>0.025252525252525252</x:v>
      </x:c>
      <x:c r="I127" s="25">
        <x:f>G127/F127</x:f>
        <x:v>0.025463962019853258</x:v>
      </x:c>
      <x:c r="J127" s="32">
        <x:f>(H127-I127)*100</x:f>
        <x:v>-0.021143676732800556</x:v>
      </x:c>
      <x:c r="K127"/>
    </x:row>
    <x:row r="128" ht="22" customHeight="1">
      <x:c r="A128" s="21" t="n">
        <x:v>2022</x:v>
      </x:c>
      <x:c r="B128" s="13" t="inlineStr">
        <x:is>
          <x:t xml:space="preserve">CDU/CSU</x:t>
        </x:is>
      </x:c>
      <x:c r="C128" s="13" t="inlineStr">
        <x:is>
          <x:t xml:space="preserve">Ökologie</x:t>
        </x:is>
      </x:c>
      <x:c r="D128" s="14">
        <x:v>1003</x:v>
      </x:c>
      <x:c r="E128" s="14">
        <x:v>221</x:v>
      </x:c>
      <x:c r="F128" s="14">
        <x:v>4007</x:v>
      </x:c>
      <x:c r="G128" s="14">
        <x:v>929</x:v>
      </x:c>
      <x:c r="H128" s="22">
        <x:f>E128/D128</x:f>
        <x:v>0.22033898305084745</x:v>
      </x:c>
      <x:c r="I128" s="22">
        <x:f>G128/F128</x:f>
        <x:v>0.2318442725230846</x:v>
      </x:c>
      <x:c r="J128" s="31">
        <x:f>(H128-I128)*100</x:f>
        <x:v>-1.1505289472237141</x:v>
      </x:c>
      <x:c r="K128"/>
    </x:row>
    <x:row r="129" ht="22" customHeight="1">
      <x:c r="A129" s="24" t="n">
        <x:v>2022</x:v>
      </x:c>
      <x:c r="B129" s="15" t="inlineStr">
        <x:is>
          <x:t xml:space="preserve">SPD</x:t>
        </x:is>
      </x:c>
      <x:c r="C129" s="15" t="inlineStr">
        <x:is>
          <x:t xml:space="preserve">Ökologie</x:t>
        </x:is>
      </x:c>
      <x:c r="D129" s="16">
        <x:v>975</x:v>
      </x:c>
      <x:c r="E129" s="16">
        <x:v>241</x:v>
      </x:c>
      <x:c r="F129" s="16">
        <x:v>4007</x:v>
      </x:c>
      <x:c r="G129" s="16">
        <x:v>929</x:v>
      </x:c>
      <x:c r="H129" s="25">
        <x:f>E129/D129</x:f>
        <x:v>0.24717948717948718</x:v>
      </x:c>
      <x:c r="I129" s="25">
        <x:f>G129/F129</x:f>
        <x:v>0.2318442725230846</x:v>
      </x:c>
      <x:c r="J129" s="32">
        <x:f>(H129-I129)*100</x:f>
        <x:v>1.5335214656402585</x:v>
      </x:c>
      <x:c r="K129"/>
    </x:row>
    <x:row r="130" ht="22" customHeight="1">
      <x:c r="A130" s="21" t="n">
        <x:v>2022</x:v>
      </x:c>
      <x:c r="B130" s="13" t="inlineStr">
        <x:is>
          <x:t xml:space="preserve">Grüne</x:t>
        </x:is>
      </x:c>
      <x:c r="C130" s="13" t="inlineStr">
        <x:is>
          <x:t xml:space="preserve">Ökologie</x:t>
        </x:is>
      </x:c>
      <x:c r="D130" s="14">
        <x:v>766</x:v>
      </x:c>
      <x:c r="E130" s="14">
        <x:v>242</x:v>
      </x:c>
      <x:c r="F130" s="14">
        <x:v>4007</x:v>
      </x:c>
      <x:c r="G130" s="14">
        <x:v>929</x:v>
      </x:c>
      <x:c r="H130" s="22">
        <x:f>E130/D130</x:f>
        <x:v>0.31592689295039167</x:v>
      </x:c>
      <x:c r="I130" s="22">
        <x:f>G130/F130</x:f>
        <x:v>0.2318442725230846</x:v>
      </x:c>
      <x:c r="J130" s="31">
        <x:f>(H130-I130)*100</x:f>
        <x:v>8.408262042730708</x:v>
      </x:c>
      <x:c r="K130"/>
    </x:row>
    <x:row r="131" ht="22" customHeight="1">
      <x:c r="A131" s="24" t="n">
        <x:v>2022</x:v>
      </x:c>
      <x:c r="B131" s="15" t="inlineStr">
        <x:is>
          <x:t xml:space="preserve">FDP</x:t>
        </x:is>
      </x:c>
      <x:c r="C131" s="15" t="inlineStr">
        <x:is>
          <x:t xml:space="preserve">Ökologie</x:t>
        </x:is>
      </x:c>
      <x:c r="D131" s="16">
        <x:v>378</x:v>
      </x:c>
      <x:c r="E131" s="16">
        <x:v>87</x:v>
      </x:c>
      <x:c r="F131" s="16">
        <x:v>4007</x:v>
      </x:c>
      <x:c r="G131" s="16">
        <x:v>929</x:v>
      </x:c>
      <x:c r="H131" s="25">
        <x:f>E131/D131</x:f>
        <x:v>0.23015873015873015</x:v>
      </x:c>
      <x:c r="I131" s="25">
        <x:f>G131/F131</x:f>
        <x:v>0.2318442725230846</x:v>
      </x:c>
      <x:c r="J131" s="32">
        <x:f>(H131-I131)*100</x:f>
        <x:v>-0.16855423643544476</x:v>
      </x:c>
      <x:c r="K131"/>
    </x:row>
    <x:row r="132" ht="22" customHeight="1">
      <x:c r="A132" s="21" t="n">
        <x:v>2022</x:v>
      </x:c>
      <x:c r="B132" s="13" t="inlineStr">
        <x:is>
          <x:t xml:space="preserve">AfD</x:t>
        </x:is>
      </x:c>
      <x:c r="C132" s="13" t="inlineStr">
        <x:is>
          <x:t xml:space="preserve">Ökologie</x:t>
        </x:is>
      </x:c>
      <x:c r="D132" s="14">
        <x:v>510</x:v>
      </x:c>
      <x:c r="E132" s="14">
        <x:v>67</x:v>
      </x:c>
      <x:c r="F132" s="14">
        <x:v>4007</x:v>
      </x:c>
      <x:c r="G132" s="14">
        <x:v>929</x:v>
      </x:c>
      <x:c r="H132" s="22">
        <x:f>E132/D132</x:f>
        <x:v>0.13137254901960785</x:v>
      </x:c>
      <x:c r="I132" s="22">
        <x:f>G132/F132</x:f>
        <x:v>0.2318442725230846</x:v>
      </x:c>
      <x:c r="J132" s="31">
        <x:f>(H132-I132)*100</x:f>
        <x:v>-10.047172350347674</x:v>
      </x:c>
      <x:c r="K132"/>
    </x:row>
    <x:row r="133" ht="22" customHeight="1">
      <x:c r="A133" s="24" t="n">
        <x:v>2022</x:v>
      </x:c>
      <x:c r="B133" s="15" t="inlineStr">
        <x:is>
          <x:t xml:space="preserve">Die Linke</x:t>
        </x:is>
      </x:c>
      <x:c r="C133" s="15" t="inlineStr">
        <x:is>
          <x:t xml:space="preserve">Ökologie</x:t>
        </x:is>
      </x:c>
      <x:c r="D133" s="16">
        <x:v>375</x:v>
      </x:c>
      <x:c r="E133" s="16">
        <x:v>71</x:v>
      </x:c>
      <x:c r="F133" s="16">
        <x:v>4007</x:v>
      </x:c>
      <x:c r="G133" s="16">
        <x:v>929</x:v>
      </x:c>
      <x:c r="H133" s="25">
        <x:f>E133/D133</x:f>
        <x:v>0.18933333333333333</x:v>
      </x:c>
      <x:c r="I133" s="25">
        <x:f>G133/F133</x:f>
        <x:v>0.2318442725230846</x:v>
      </x:c>
      <x:c r="J133" s="32">
        <x:f>(H133-I133)*100</x:f>
        <x:v>-4.251093918975127</x:v>
      </x:c>
      <x:c r="K133"/>
    </x:row>
    <x:row r="134" ht="22" customHeight="1">
      <x:c r="A134" s="21" t="n">
        <x:v>2022</x:v>
      </x:c>
      <x:c r="B134" s="13" t="inlineStr">
        <x:is>
          <x:t xml:space="preserve">CDU/CSU</x:t>
        </x:is>
      </x:c>
      <x:c r="C134" s="13" t="inlineStr">
        <x:is>
          <x:t xml:space="preserve">Ökonomie</x:t>
        </x:is>
      </x:c>
      <x:c r="D134" s="14">
        <x:v>1003</x:v>
      </x:c>
      <x:c r="E134" s="14">
        <x:v>248</x:v>
      </x:c>
      <x:c r="F134" s="14">
        <x:v>4007</x:v>
      </x:c>
      <x:c r="G134" s="14">
        <x:v>1172</x:v>
      </x:c>
      <x:c r="H134" s="22">
        <x:f>E134/D134</x:f>
        <x:v>0.2472582253240279</x:v>
      </x:c>
      <x:c r="I134" s="22">
        <x:f>G134/F134</x:f>
        <x:v>0.29248814574494636</x:v>
      </x:c>
      <x:c r="J134" s="31">
        <x:f>(H134-I134)*100</x:f>
        <x:v>-4.522992042091845</x:v>
      </x:c>
      <x:c r="K134"/>
    </x:row>
    <x:row r="135" ht="22" customHeight="1">
      <x:c r="A135" s="24" t="n">
        <x:v>2022</x:v>
      </x:c>
      <x:c r="B135" s="15" t="inlineStr">
        <x:is>
          <x:t xml:space="preserve">SPD</x:t>
        </x:is>
      </x:c>
      <x:c r="C135" s="15" t="inlineStr">
        <x:is>
          <x:t xml:space="preserve">Ökonomie</x:t>
        </x:is>
      </x:c>
      <x:c r="D135" s="16">
        <x:v>975</x:v>
      </x:c>
      <x:c r="E135" s="16">
        <x:v>256</x:v>
      </x:c>
      <x:c r="F135" s="16">
        <x:v>4007</x:v>
      </x:c>
      <x:c r="G135" s="16">
        <x:v>1172</x:v>
      </x:c>
      <x:c r="H135" s="25">
        <x:f>E135/D135</x:f>
        <x:v>0.26256410256410256</x:v>
      </x:c>
      <x:c r="I135" s="25">
        <x:f>G135/F135</x:f>
        <x:v>0.29248814574494636</x:v>
      </x:c>
      <x:c r="J135" s="32">
        <x:f>(H135-I135)*100</x:f>
        <x:v>-2.99240431808438</x:v>
      </x:c>
      <x:c r="K135"/>
    </x:row>
    <x:row r="136" ht="22" customHeight="1">
      <x:c r="A136" s="21" t="n">
        <x:v>2022</x:v>
      </x:c>
      <x:c r="B136" s="13" t="inlineStr">
        <x:is>
          <x:t xml:space="preserve">Grüne</x:t>
        </x:is>
      </x:c>
      <x:c r="C136" s="13" t="inlineStr">
        <x:is>
          <x:t xml:space="preserve">Ökonomie</x:t>
        </x:is>
      </x:c>
      <x:c r="D136" s="14">
        <x:v>766</x:v>
      </x:c>
      <x:c r="E136" s="14">
        <x:v>208</x:v>
      </x:c>
      <x:c r="F136" s="14">
        <x:v>4007</x:v>
      </x:c>
      <x:c r="G136" s="14">
        <x:v>1172</x:v>
      </x:c>
      <x:c r="H136" s="22">
        <x:f>E136/D136</x:f>
        <x:v>0.27154046997389036</x:v>
      </x:c>
      <x:c r="I136" s="22">
        <x:f>G136/F136</x:f>
        <x:v>0.29248814574494636</x:v>
      </x:c>
      <x:c r="J136" s="31">
        <x:f>(H136-I136)*100</x:f>
        <x:v>-2.0947675771056</x:v>
      </x:c>
      <x:c r="K136"/>
    </x:row>
    <x:row r="137" ht="22" customHeight="1">
      <x:c r="A137" s="24" t="n">
        <x:v>2022</x:v>
      </x:c>
      <x:c r="B137" s="15" t="inlineStr">
        <x:is>
          <x:t xml:space="preserve">FDP</x:t>
        </x:is>
      </x:c>
      <x:c r="C137" s="15" t="inlineStr">
        <x:is>
          <x:t xml:space="preserve">Ökonomie</x:t>
        </x:is>
      </x:c>
      <x:c r="D137" s="16">
        <x:v>378</x:v>
      </x:c>
      <x:c r="E137" s="16">
        <x:v>117</x:v>
      </x:c>
      <x:c r="F137" s="16">
        <x:v>4007</x:v>
      </x:c>
      <x:c r="G137" s="16">
        <x:v>1172</x:v>
      </x:c>
      <x:c r="H137" s="25">
        <x:f>E137/D137</x:f>
        <x:v>0.30952380952380953</x:v>
      </x:c>
      <x:c r="I137" s="25">
        <x:f>G137/F137</x:f>
        <x:v>0.29248814574494636</x:v>
      </x:c>
      <x:c r="J137" s="32">
        <x:f>(H137-I137)*100</x:f>
        <x:v>1.7035663778863175</x:v>
      </x:c>
      <x:c r="K137"/>
    </x:row>
    <x:row r="138" ht="22" customHeight="1">
      <x:c r="A138" s="21" t="n">
        <x:v>2022</x:v>
      </x:c>
      <x:c r="B138" s="13" t="inlineStr">
        <x:is>
          <x:t xml:space="preserve">AfD</x:t>
        </x:is>
      </x:c>
      <x:c r="C138" s="13" t="inlineStr">
        <x:is>
          <x:t xml:space="preserve">Ökonomie</x:t>
        </x:is>
      </x:c>
      <x:c r="D138" s="14">
        <x:v>510</x:v>
      </x:c>
      <x:c r="E138" s="14">
        <x:v>180</x:v>
      </x:c>
      <x:c r="F138" s="14">
        <x:v>4007</x:v>
      </x:c>
      <x:c r="G138" s="14">
        <x:v>1172</x:v>
      </x:c>
      <x:c r="H138" s="22">
        <x:f>E138/D138</x:f>
        <x:v>0.35294117647058826</x:v>
      </x:c>
      <x:c r="I138" s="22">
        <x:f>G138/F138</x:f>
        <x:v>0.29248814574494636</x:v>
      </x:c>
      <x:c r="J138" s="31">
        <x:f>(H138-I138)*100</x:f>
        <x:v>6.04530307256419</x:v>
      </x:c>
      <x:c r="K138"/>
    </x:row>
    <x:row r="139" ht="22" customHeight="1">
      <x:c r="A139" s="24" t="n">
        <x:v>2022</x:v>
      </x:c>
      <x:c r="B139" s="15" t="inlineStr">
        <x:is>
          <x:t xml:space="preserve">Die Linke</x:t>
        </x:is>
      </x:c>
      <x:c r="C139" s="15" t="inlineStr">
        <x:is>
          <x:t xml:space="preserve">Ökonomie</x:t>
        </x:is>
      </x:c>
      <x:c r="D139" s="16">
        <x:v>375</x:v>
      </x:c>
      <x:c r="E139" s="16">
        <x:v>163</x:v>
      </x:c>
      <x:c r="F139" s="16">
        <x:v>4007</x:v>
      </x:c>
      <x:c r="G139" s="16">
        <x:v>1172</x:v>
      </x:c>
      <x:c r="H139" s="25">
        <x:f>E139/D139</x:f>
        <x:v>0.43466666666666665</x:v>
      </x:c>
      <x:c r="I139" s="25">
        <x:f>G139/F139</x:f>
        <x:v>0.29248814574494636</x:v>
      </x:c>
      <x:c r="J139" s="32">
        <x:f>(H139-I139)*100</x:f>
        <x:v>14.217852092172029</x:v>
      </x:c>
      <x:c r="K139"/>
    </x:row>
    <x:row r="140" ht="22" customHeight="1">
      <x:c r="A140" s="21" t="n">
        <x:v>2022</x:v>
      </x:c>
      <x:c r="B140" s="13" t="inlineStr">
        <x:is>
          <x:t xml:space="preserve">CDU/CSU</x:t>
        </x:is>
      </x:c>
      <x:c r="C140" s="13" t="inlineStr">
        <x:is>
          <x:t xml:space="preserve">S&amp;R</x:t>
        </x:is>
      </x:c>
      <x:c r="D140" s="14">
        <x:v>1003</x:v>
      </x:c>
      <x:c r="E140" s="14">
        <x:v>80</x:v>
      </x:c>
      <x:c r="F140" s="14">
        <x:v>4007</x:v>
      </x:c>
      <x:c r="G140" s="14">
        <x:v>403</x:v>
      </x:c>
      <x:c r="H140" s="22">
        <x:f>E140/D140</x:f>
        <x:v>0.07976071784646062</x:v>
      </x:c>
      <x:c r="I140" s="22">
        <x:f>G140/F140</x:f>
        <x:v>0.10057399550786124</x:v>
      </x:c>
      <x:c r="J140" s="31">
        <x:f>(H140-I140)*100</x:f>
        <x:v>-2.081327766140062</x:v>
      </x:c>
      <x:c r="K140"/>
    </x:row>
    <x:row r="141" ht="22" customHeight="1">
      <x:c r="A141" s="24" t="n">
        <x:v>2022</x:v>
      </x:c>
      <x:c r="B141" s="15" t="inlineStr">
        <x:is>
          <x:t xml:space="preserve">SPD</x:t>
        </x:is>
      </x:c>
      <x:c r="C141" s="15" t="inlineStr">
        <x:is>
          <x:t xml:space="preserve">S&amp;R</x:t>
        </x:is>
      </x:c>
      <x:c r="D141" s="16">
        <x:v>975</x:v>
      </x:c>
      <x:c r="E141" s="16">
        <x:v>97</x:v>
      </x:c>
      <x:c r="F141" s="16">
        <x:v>4007</x:v>
      </x:c>
      <x:c r="G141" s="16">
        <x:v>403</x:v>
      </x:c>
      <x:c r="H141" s="25">
        <x:f>E141/D141</x:f>
        <x:v>0.09948717948717949</x:v>
      </x:c>
      <x:c r="I141" s="25">
        <x:f>G141/F141</x:f>
        <x:v>0.10057399550786124</x:v>
      </x:c>
      <x:c r="J141" s="32">
        <x:f>(H141-I141)*100</x:f>
        <x:v>-0.10868160206817523</x:v>
      </x:c>
      <x:c r="K141"/>
    </x:row>
    <x:row r="142" ht="22" customHeight="1">
      <x:c r="A142" s="21" t="n">
        <x:v>2022</x:v>
      </x:c>
      <x:c r="B142" s="13" t="inlineStr">
        <x:is>
          <x:t xml:space="preserve">Grüne</x:t>
        </x:is>
      </x:c>
      <x:c r="C142" s="13" t="inlineStr">
        <x:is>
          <x:t xml:space="preserve">S&amp;R</x:t>
        </x:is>
      </x:c>
      <x:c r="D142" s="14">
        <x:v>766</x:v>
      </x:c>
      <x:c r="E142" s="14">
        <x:v>102</x:v>
      </x:c>
      <x:c r="F142" s="14">
        <x:v>4007</x:v>
      </x:c>
      <x:c r="G142" s="14">
        <x:v>403</x:v>
      </x:c>
      <x:c r="H142" s="22">
        <x:f>E142/D142</x:f>
        <x:v>0.13315926892950392</x:v>
      </x:c>
      <x:c r="I142" s="22">
        <x:f>G142/F142</x:f>
        <x:v>0.10057399550786124</x:v>
      </x:c>
      <x:c r="J142" s="31">
        <x:f>(H142-I142)*100</x:f>
        <x:v>3.2585273421642675</x:v>
      </x:c>
      <x:c r="K142"/>
    </x:row>
    <x:row r="143" ht="22" customHeight="1">
      <x:c r="A143" s="24" t="n">
        <x:v>2022</x:v>
      </x:c>
      <x:c r="B143" s="15" t="inlineStr">
        <x:is>
          <x:t xml:space="preserve">FDP</x:t>
        </x:is>
      </x:c>
      <x:c r="C143" s="15" t="inlineStr">
        <x:is>
          <x:t xml:space="preserve">S&amp;R</x:t>
        </x:is>
      </x:c>
      <x:c r="D143" s="16">
        <x:v>378</x:v>
      </x:c>
      <x:c r="E143" s="16">
        <x:v>39</x:v>
      </x:c>
      <x:c r="F143" s="16">
        <x:v>4007</x:v>
      </x:c>
      <x:c r="G143" s="16">
        <x:v>403</x:v>
      </x:c>
      <x:c r="H143" s="25">
        <x:f>E143/D143</x:f>
        <x:v>0.10317460317460317</x:v>
      </x:c>
      <x:c r="I143" s="25">
        <x:f>G143/F143</x:f>
        <x:v>0.10057399550786124</x:v>
      </x:c>
      <x:c r="J143" s="32">
        <x:f>(H143-I143)*100</x:f>
        <x:v>0.26006076667419303</x:v>
      </x:c>
      <x:c r="K143"/>
    </x:row>
    <x:row r="144" ht="22" customHeight="1">
      <x:c r="A144" s="21" t="n">
        <x:v>2022</x:v>
      </x:c>
      <x:c r="B144" s="13" t="inlineStr">
        <x:is>
          <x:t xml:space="preserve">AfD</x:t>
        </x:is>
      </x:c>
      <x:c r="C144" s="13" t="inlineStr">
        <x:is>
          <x:t xml:space="preserve">S&amp;R</x:t>
        </x:is>
      </x:c>
      <x:c r="D144" s="14">
        <x:v>510</x:v>
      </x:c>
      <x:c r="E144" s="14">
        <x:v>54</x:v>
      </x:c>
      <x:c r="F144" s="14">
        <x:v>4007</x:v>
      </x:c>
      <x:c r="G144" s="14">
        <x:v>403</x:v>
      </x:c>
      <x:c r="H144" s="22">
        <x:f>E144/D144</x:f>
        <x:v>0.10588235294117647</x:v>
      </x:c>
      <x:c r="I144" s="22">
        <x:f>G144/F144</x:f>
        <x:v>0.10057399550786124</x:v>
      </x:c>
      <x:c r="J144" s="31">
        <x:f>(H144-I144)*100</x:f>
        <x:v>0.5308357433315231</x:v>
      </x:c>
      <x:c r="K144"/>
    </x:row>
    <x:row r="145" ht="22" customHeight="1">
      <x:c r="A145" s="24" t="n">
        <x:v>2022</x:v>
      </x:c>
      <x:c r="B145" s="15" t="inlineStr">
        <x:is>
          <x:t xml:space="preserve">Die Linke</x:t>
        </x:is>
      </x:c>
      <x:c r="C145" s="15" t="inlineStr">
        <x:is>
          <x:t xml:space="preserve">S&amp;R</x:t>
        </x:is>
      </x:c>
      <x:c r="D145" s="16">
        <x:v>375</x:v>
      </x:c>
      <x:c r="E145" s="16">
        <x:v>31</x:v>
      </x:c>
      <x:c r="F145" s="16">
        <x:v>4007</x:v>
      </x:c>
      <x:c r="G145" s="16">
        <x:v>403</x:v>
      </x:c>
      <x:c r="H145" s="25">
        <x:f>E145/D145</x:f>
        <x:v>0.08266666666666667</x:v>
      </x:c>
      <x:c r="I145" s="25">
        <x:f>G145/F145</x:f>
        <x:v>0.10057399550786124</x:v>
      </x:c>
      <x:c r="J145" s="32">
        <x:f>(H145-I145)*100</x:f>
        <x:v>-1.7907328841194572</x:v>
      </x:c>
      <x:c r="K145"/>
    </x:row>
    <x:row r="146" ht="22" customHeight="1">
      <x:c r="A146" s="21" t="n">
        <x:v>2023</x:v>
      </x:c>
      <x:c r="B146" s="13" t="inlineStr">
        <x:is>
          <x:t xml:space="preserve">CDU/CSU</x:t>
        </x:is>
      </x:c>
      <x:c r="C146" s="13" t="inlineStr">
        <x:is>
          <x:t xml:space="preserve">Ökologie</x:t>
        </x:is>
      </x:c>
      <x:c r="D146" s="14">
        <x:v>792</x:v>
      </x:c>
      <x:c r="E146" s="14">
        <x:v>186</x:v>
      </x:c>
      <x:c r="F146" s="14">
        <x:v>3399</x:v>
      </x:c>
      <x:c r="G146" s="14">
        <x:v>922</x:v>
      </x:c>
      <x:c r="H146" s="22">
        <x:f>E146/D146</x:f>
        <x:v>0.23484848484848486</x:v>
      </x:c>
      <x:c r="I146" s="22">
        <x:f>G146/F146</x:f>
        <x:v>0.2712562518387761</x:v>
      </x:c>
      <x:c r="J146" s="31">
        <x:f>(H146-I146)*100</x:f>
        <x:v>-3.6407766990291246</x:v>
      </x:c>
      <x:c r="K146"/>
    </x:row>
    <x:row r="147" ht="22" customHeight="1">
      <x:c r="A147" s="24" t="n">
        <x:v>2023</x:v>
      </x:c>
      <x:c r="B147" s="15" t="inlineStr">
        <x:is>
          <x:t xml:space="preserve">SPD</x:t>
        </x:is>
      </x:c>
      <x:c r="C147" s="15" t="inlineStr">
        <x:is>
          <x:t xml:space="preserve">Ökologie</x:t>
        </x:is>
      </x:c>
      <x:c r="D147" s="16">
        <x:v>915</x:v>
      </x:c>
      <x:c r="E147" s="16">
        <x:v>281</x:v>
      </x:c>
      <x:c r="F147" s="16">
        <x:v>3399</x:v>
      </x:c>
      <x:c r="G147" s="16">
        <x:v>922</x:v>
      </x:c>
      <x:c r="H147" s="25">
        <x:f>E147/D147</x:f>
        <x:v>0.307103825136612</x:v>
      </x:c>
      <x:c r="I147" s="25">
        <x:f>G147/F147</x:f>
        <x:v>0.2712562518387761</x:v>
      </x:c>
      <x:c r="J147" s="32">
        <x:f>(H147-I147)*100</x:f>
        <x:v>3.5847573297835886</x:v>
      </x:c>
      <x:c r="K147"/>
    </x:row>
    <x:row r="148" ht="22" customHeight="1">
      <x:c r="A148" s="21" t="n">
        <x:v>2023</x:v>
      </x:c>
      <x:c r="B148" s="13" t="inlineStr">
        <x:is>
          <x:t xml:space="preserve">Grüne</x:t>
        </x:is>
      </x:c>
      <x:c r="C148" s="13" t="inlineStr">
        <x:is>
          <x:t xml:space="preserve">Ökologie</x:t>
        </x:is>
      </x:c>
      <x:c r="D148" s="14">
        <x:v>663</x:v>
      </x:c>
      <x:c r="E148" s="14">
        <x:v>212</x:v>
      </x:c>
      <x:c r="F148" s="14">
        <x:v>3399</x:v>
      </x:c>
      <x:c r="G148" s="14">
        <x:v>922</x:v>
      </x:c>
      <x:c r="H148" s="22">
        <x:f>E148/D148</x:f>
        <x:v>0.31975867269984914</x:v>
      </x:c>
      <x:c r="I148" s="22">
        <x:f>G148/F148</x:f>
        <x:v>0.2712562518387761</x:v>
      </x:c>
      <x:c r="J148" s="31">
        <x:f>(H148-I148)*100</x:f>
        <x:v>4.850242086107304</x:v>
      </x:c>
      <x:c r="K148"/>
    </x:row>
    <x:row r="149" ht="22" customHeight="1">
      <x:c r="A149" s="24" t="n">
        <x:v>2023</x:v>
      </x:c>
      <x:c r="B149" s="15" t="inlineStr">
        <x:is>
          <x:t xml:space="preserve">FDP</x:t>
        </x:is>
      </x:c>
      <x:c r="C149" s="15" t="inlineStr">
        <x:is>
          <x:t xml:space="preserve">Ökologie</x:t>
        </x:is>
      </x:c>
      <x:c r="D149" s="16">
        <x:v>314</x:v>
      </x:c>
      <x:c r="E149" s="16">
        <x:v>99</x:v>
      </x:c>
      <x:c r="F149" s="16">
        <x:v>3399</x:v>
      </x:c>
      <x:c r="G149" s="16">
        <x:v>922</x:v>
      </x:c>
      <x:c r="H149" s="25">
        <x:f>E149/D149</x:f>
        <x:v>0.31528662420382164</x:v>
      </x:c>
      <x:c r="I149" s="25">
        <x:f>G149/F149</x:f>
        <x:v>0.2712562518387761</x:v>
      </x:c>
      <x:c r="J149" s="32">
        <x:f>(H149-I149)*100</x:f>
        <x:v>4.403037236504553</x:v>
      </x:c>
      <x:c r="K149"/>
    </x:row>
    <x:row r="150" ht="22" customHeight="1">
      <x:c r="A150" s="21" t="n">
        <x:v>2023</x:v>
      </x:c>
      <x:c r="B150" s="13" t="inlineStr">
        <x:is>
          <x:t xml:space="preserve">AfD</x:t>
        </x:is>
      </x:c>
      <x:c r="C150" s="13" t="inlineStr">
        <x:is>
          <x:t xml:space="preserve">Ökologie</x:t>
        </x:is>
      </x:c>
      <x:c r="D150" s="14">
        <x:v>407</x:v>
      </x:c>
      <x:c r="E150" s="14">
        <x:v>72</x:v>
      </x:c>
      <x:c r="F150" s="14">
        <x:v>3399</x:v>
      </x:c>
      <x:c r="G150" s="14">
        <x:v>922</x:v>
      </x:c>
      <x:c r="H150" s="22">
        <x:f>E150/D150</x:f>
        <x:v>0.1769041769041769</x:v>
      </x:c>
      <x:c r="I150" s="22">
        <x:f>G150/F150</x:f>
        <x:v>0.2712562518387761</x:v>
      </x:c>
      <x:c r="J150" s="31">
        <x:f>(H150-I150)*100</x:f>
        <x:v>-9.435207493459922</x:v>
      </x:c>
      <x:c r="K150"/>
    </x:row>
    <x:row r="151" ht="22" customHeight="1">
      <x:c r="A151" s="24" t="n">
        <x:v>2023</x:v>
      </x:c>
      <x:c r="B151" s="15" t="inlineStr">
        <x:is>
          <x:t xml:space="preserve">Die Linke</x:t>
        </x:is>
      </x:c>
      <x:c r="C151" s="15" t="inlineStr">
        <x:is>
          <x:t xml:space="preserve">Ökologie</x:t>
        </x:is>
      </x:c>
      <x:c r="D151" s="16">
        <x:v>308</x:v>
      </x:c>
      <x:c r="E151" s="16">
        <x:v>72</x:v>
      </x:c>
      <x:c r="F151" s="16">
        <x:v>3399</x:v>
      </x:c>
      <x:c r="G151" s="16">
        <x:v>922</x:v>
      </x:c>
      <x:c r="H151" s="25">
        <x:f>E151/D151</x:f>
        <x:v>0.23376623376623376</x:v>
      </x:c>
      <x:c r="I151" s="25">
        <x:f>G151/F151</x:f>
        <x:v>0.2712562518387761</x:v>
      </x:c>
      <x:c r="J151" s="32">
        <x:f>(H151-I151)*100</x:f>
        <x:v>-3.749001807254235</x:v>
      </x:c>
      <x:c r="K151"/>
    </x:row>
    <x:row r="152" ht="22" customHeight="1">
      <x:c r="A152" s="21" t="n">
        <x:v>2023</x:v>
      </x:c>
      <x:c r="B152" s="13" t="inlineStr">
        <x:is>
          <x:t xml:space="preserve">CDU/CSU</x:t>
        </x:is>
      </x:c>
      <x:c r="C152" s="13" t="inlineStr">
        <x:is>
          <x:t xml:space="preserve">Ökonomie</x:t>
        </x:is>
      </x:c>
      <x:c r="D152" s="14">
        <x:v>792</x:v>
      </x:c>
      <x:c r="E152" s="14">
        <x:v>168</x:v>
      </x:c>
      <x:c r="F152" s="14">
        <x:v>3399</x:v>
      </x:c>
      <x:c r="G152" s="14">
        <x:v>743</x:v>
      </x:c>
      <x:c r="H152" s="22">
        <x:f>E152/D152</x:f>
        <x:v>0.21212121212121213</x:v>
      </x:c>
      <x:c r="I152" s="22">
        <x:f>G152/F152</x:f>
        <x:v>0.21859370403059725</x:v>
      </x:c>
      <x:c r="J152" s="31">
        <x:f>(H152-I152)*100</x:f>
        <x:v>-0.647249190938512</x:v>
      </x:c>
      <x:c r="K152"/>
    </x:row>
    <x:row r="153" ht="22" customHeight="1">
      <x:c r="A153" s="24" t="n">
        <x:v>2023</x:v>
      </x:c>
      <x:c r="B153" s="15" t="inlineStr">
        <x:is>
          <x:t xml:space="preserve">SPD</x:t>
        </x:is>
      </x:c>
      <x:c r="C153" s="15" t="inlineStr">
        <x:is>
          <x:t xml:space="preserve">Ökonomie</x:t>
        </x:is>
      </x:c>
      <x:c r="D153" s="16">
        <x:v>915</x:v>
      </x:c>
      <x:c r="E153" s="16">
        <x:v>164</x:v>
      </x:c>
      <x:c r="F153" s="16">
        <x:v>3399</x:v>
      </x:c>
      <x:c r="G153" s="16">
        <x:v>743</x:v>
      </x:c>
      <x:c r="H153" s="25">
        <x:f>E153/D153</x:f>
        <x:v>0.17923497267759564</x:v>
      </x:c>
      <x:c r="I153" s="25">
        <x:f>G153/F153</x:f>
        <x:v>0.21859370403059725</x:v>
      </x:c>
      <x:c r="J153" s="32">
        <x:f>(H153-I153)*100</x:f>
        <x:v>-3.935873135300161</x:v>
      </x:c>
      <x:c r="K153"/>
    </x:row>
    <x:row r="154" ht="22" customHeight="1">
      <x:c r="A154" s="21" t="n">
        <x:v>2023</x:v>
      </x:c>
      <x:c r="B154" s="13" t="inlineStr">
        <x:is>
          <x:t xml:space="preserve">Grüne</x:t>
        </x:is>
      </x:c>
      <x:c r="C154" s="13" t="inlineStr">
        <x:is>
          <x:t xml:space="preserve">Ökonomie</x:t>
        </x:is>
      </x:c>
      <x:c r="D154" s="14">
        <x:v>663</x:v>
      </x:c>
      <x:c r="E154" s="14">
        <x:v>130</x:v>
      </x:c>
      <x:c r="F154" s="14">
        <x:v>3399</x:v>
      </x:c>
      <x:c r="G154" s="14">
        <x:v>743</x:v>
      </x:c>
      <x:c r="H154" s="22">
        <x:f>E154/D154</x:f>
        <x:v>0.19607843137254902</x:v>
      </x:c>
      <x:c r="I154" s="22">
        <x:f>G154/F154</x:f>
        <x:v>0.21859370403059725</x:v>
      </x:c>
      <x:c r="J154" s="31">
        <x:f>(H154-I154)*100</x:f>
        <x:v>-2.251527265804823</x:v>
      </x:c>
      <x:c r="K154"/>
    </x:row>
    <x:row r="155" ht="22" customHeight="1">
      <x:c r="A155" s="24" t="n">
        <x:v>2023</x:v>
      </x:c>
      <x:c r="B155" s="15" t="inlineStr">
        <x:is>
          <x:t xml:space="preserve">FDP</x:t>
        </x:is>
      </x:c>
      <x:c r="C155" s="15" t="inlineStr">
        <x:is>
          <x:t xml:space="preserve">Ökonomie</x:t>
        </x:is>
      </x:c>
      <x:c r="D155" s="16">
        <x:v>314</x:v>
      </x:c>
      <x:c r="E155" s="16">
        <x:v>71</x:v>
      </x:c>
      <x:c r="F155" s="16">
        <x:v>3399</x:v>
      </x:c>
      <x:c r="G155" s="16">
        <x:v>743</x:v>
      </x:c>
      <x:c r="H155" s="25">
        <x:f>E155/D155</x:f>
        <x:v>0.22611464968152867</x:v>
      </x:c>
      <x:c r="I155" s="25">
        <x:f>G155/F155</x:f>
        <x:v>0.21859370403059725</x:v>
      </x:c>
      <x:c r="J155" s="32">
        <x:f>(H155-I155)*100</x:f>
        <x:v>0.7520945650931421</x:v>
      </x:c>
      <x:c r="K155"/>
    </x:row>
    <x:row r="156" ht="22" customHeight="1">
      <x:c r="A156" s="21" t="n">
        <x:v>2023</x:v>
      </x:c>
      <x:c r="B156" s="13" t="inlineStr">
        <x:is>
          <x:t xml:space="preserve">AfD</x:t>
        </x:is>
      </x:c>
      <x:c r="C156" s="13" t="inlineStr">
        <x:is>
          <x:t xml:space="preserve">Ökonomie</x:t>
        </x:is>
      </x:c>
      <x:c r="D156" s="14">
        <x:v>407</x:v>
      </x:c>
      <x:c r="E156" s="14">
        <x:v>104</x:v>
      </x:c>
      <x:c r="F156" s="14">
        <x:v>3399</x:v>
      </x:c>
      <x:c r="G156" s="14">
        <x:v>743</x:v>
      </x:c>
      <x:c r="H156" s="22">
        <x:f>E156/D156</x:f>
        <x:v>0.25552825552825553</x:v>
      </x:c>
      <x:c r="I156" s="22">
        <x:f>G156/F156</x:f>
        <x:v>0.21859370403059725</x:v>
      </x:c>
      <x:c r="J156" s="31">
        <x:f>(H156-I156)*100</x:f>
        <x:v>3.6934551497658283</x:v>
      </x:c>
      <x:c r="K156"/>
    </x:row>
    <x:row r="157" ht="22" customHeight="1">
      <x:c r="A157" s="24" t="n">
        <x:v>2023</x:v>
      </x:c>
      <x:c r="B157" s="15" t="inlineStr">
        <x:is>
          <x:t xml:space="preserve">Die Linke</x:t>
        </x:is>
      </x:c>
      <x:c r="C157" s="15" t="inlineStr">
        <x:is>
          <x:t xml:space="preserve">Ökonomie</x:t>
        </x:is>
      </x:c>
      <x:c r="D157" s="16">
        <x:v>308</x:v>
      </x:c>
      <x:c r="E157" s="16">
        <x:v>106</x:v>
      </x:c>
      <x:c r="F157" s="16">
        <x:v>3399</x:v>
      </x:c>
      <x:c r="G157" s="16">
        <x:v>743</x:v>
      </x:c>
      <x:c r="H157" s="25">
        <x:f>E157/D157</x:f>
        <x:v>0.34415584415584416</x:v>
      </x:c>
      <x:c r="I157" s="25">
        <x:f>G157/F157</x:f>
        <x:v>0.21859370403059725</x:v>
      </x:c>
      <x:c r="J157" s="32">
        <x:f>(H157-I157)*100</x:f>
        <x:v>12.556214012524691</x:v>
      </x:c>
      <x:c r="K157"/>
    </x:row>
    <x:row r="158" ht="22" customHeight="1">
      <x:c r="A158" s="21" t="n">
        <x:v>2023</x:v>
      </x:c>
      <x:c r="B158" s="13" t="inlineStr">
        <x:is>
          <x:t xml:space="preserve">CDU/CSU</x:t>
        </x:is>
      </x:c>
      <x:c r="C158" s="13" t="inlineStr">
        <x:is>
          <x:t xml:space="preserve">S&amp;R</x:t>
        </x:is>
      </x:c>
      <x:c r="D158" s="14">
        <x:v>792</x:v>
      </x:c>
      <x:c r="E158" s="14">
        <x:v>36</x:v>
      </x:c>
      <x:c r="F158" s="14">
        <x:v>3399</x:v>
      </x:c>
      <x:c r="G158" s="14">
        <x:v>215</x:v>
      </x:c>
      <x:c r="H158" s="22">
        <x:f>E158/D158</x:f>
        <x:v>0.045454545454545456</x:v>
      </x:c>
      <x:c r="I158" s="22">
        <x:f>G158/F158</x:f>
        <x:v>0.06325389820535451</x:v>
      </x:c>
      <x:c r="J158" s="31">
        <x:f>(H158-I158)*100</x:f>
        <x:v>-1.7799352750809059</x:v>
      </x:c>
      <x:c r="K158"/>
    </x:row>
    <x:row r="159" ht="22" customHeight="1">
      <x:c r="A159" s="24" t="n">
        <x:v>2023</x:v>
      </x:c>
      <x:c r="B159" s="15" t="inlineStr">
        <x:is>
          <x:t xml:space="preserve">SPD</x:t>
        </x:is>
      </x:c>
      <x:c r="C159" s="15" t="inlineStr">
        <x:is>
          <x:t xml:space="preserve">S&amp;R</x:t>
        </x:is>
      </x:c>
      <x:c r="D159" s="16">
        <x:v>915</x:v>
      </x:c>
      <x:c r="E159" s="16">
        <x:v>74</x:v>
      </x:c>
      <x:c r="F159" s="16">
        <x:v>3399</x:v>
      </x:c>
      <x:c r="G159" s="16">
        <x:v>215</x:v>
      </x:c>
      <x:c r="H159" s="25">
        <x:f>E159/D159</x:f>
        <x:v>0.08087431693989071</x:v>
      </x:c>
      <x:c r="I159" s="25">
        <x:f>G159/F159</x:f>
        <x:v>0.06325389820535451</x:v>
      </x:c>
      <x:c r="J159" s="32">
        <x:f>(H159-I159)*100</x:f>
        <x:v>1.7620418734536194</x:v>
      </x:c>
      <x:c r="K159"/>
    </x:row>
    <x:row r="160" ht="22" customHeight="1">
      <x:c r="A160" s="21" t="n">
        <x:v>2023</x:v>
      </x:c>
      <x:c r="B160" s="13" t="inlineStr">
        <x:is>
          <x:t xml:space="preserve">Grüne</x:t>
        </x:is>
      </x:c>
      <x:c r="C160" s="13" t="inlineStr">
        <x:is>
          <x:t xml:space="preserve">S&amp;R</x:t>
        </x:is>
      </x:c>
      <x:c r="D160" s="14">
        <x:v>663</x:v>
      </x:c>
      <x:c r="E160" s="14">
        <x:v>42</x:v>
      </x:c>
      <x:c r="F160" s="14">
        <x:v>3399</x:v>
      </x:c>
      <x:c r="G160" s="14">
        <x:v>215</x:v>
      </x:c>
      <x:c r="H160" s="22">
        <x:f>E160/D160</x:f>
        <x:v>0.06334841628959276</x:v>
      </x:c>
      <x:c r="I160" s="22">
        <x:f>G160/F160</x:f>
        <x:v>0.06325389820535451</x:v>
      </x:c>
      <x:c r="J160" s="31">
        <x:f>(H160-I160)*100</x:f>
        <x:v>0.009451808423824315</x:v>
      </x:c>
      <x:c r="K160"/>
    </x:row>
    <x:row r="161" ht="22" customHeight="1">
      <x:c r="A161" s="24" t="n">
        <x:v>2023</x:v>
      </x:c>
      <x:c r="B161" s="15" t="inlineStr">
        <x:is>
          <x:t xml:space="preserve">FDP</x:t>
        </x:is>
      </x:c>
      <x:c r="C161" s="15" t="inlineStr">
        <x:is>
          <x:t xml:space="preserve">S&amp;R</x:t>
        </x:is>
      </x:c>
      <x:c r="D161" s="16">
        <x:v>314</x:v>
      </x:c>
      <x:c r="E161" s="16">
        <x:v>13</x:v>
      </x:c>
      <x:c r="F161" s="16">
        <x:v>3399</x:v>
      </x:c>
      <x:c r="G161" s="16">
        <x:v>215</x:v>
      </x:c>
      <x:c r="H161" s="25">
        <x:f>E161/D161</x:f>
        <x:v>0.041401273885350316</x:v>
      </x:c>
      <x:c r="I161" s="25">
        <x:f>G161/F161</x:f>
        <x:v>0.06325389820535451</x:v>
      </x:c>
      <x:c r="J161" s="32">
        <x:f>(H161-I161)*100</x:f>
        <x:v>-2.1852624320004197</x:v>
      </x:c>
      <x:c r="K161"/>
    </x:row>
    <x:row r="162" ht="22" customHeight="1">
      <x:c r="A162" s="21" t="n">
        <x:v>2023</x:v>
      </x:c>
      <x:c r="B162" s="13" t="inlineStr">
        <x:is>
          <x:t xml:space="preserve">AfD</x:t>
        </x:is>
      </x:c>
      <x:c r="C162" s="13" t="inlineStr">
        <x:is>
          <x:t xml:space="preserve">S&amp;R</x:t>
        </x:is>
      </x:c>
      <x:c r="D162" s="14">
        <x:v>407</x:v>
      </x:c>
      <x:c r="E162" s="14">
        <x:v>31</x:v>
      </x:c>
      <x:c r="F162" s="14">
        <x:v>3399</x:v>
      </x:c>
      <x:c r="G162" s="14">
        <x:v>215</x:v>
      </x:c>
      <x:c r="H162" s="22">
        <x:f>E162/D162</x:f>
        <x:v>0.07616707616707617</x:v>
      </x:c>
      <x:c r="I162" s="22">
        <x:f>G162/F162</x:f>
        <x:v>0.06325389820535451</x:v>
      </x:c>
      <x:c r="J162" s="31">
        <x:f>(H162-I162)*100</x:f>
        <x:v>1.2913177961721658</x:v>
      </x:c>
      <x:c r="K162"/>
    </x:row>
    <x:row r="163" ht="22" customHeight="1">
      <x:c r="A163" s="24" t="n">
        <x:v>2023</x:v>
      </x:c>
      <x:c r="B163" s="15" t="inlineStr">
        <x:is>
          <x:t xml:space="preserve">Die Linke</x:t>
        </x:is>
      </x:c>
      <x:c r="C163" s="15" t="inlineStr">
        <x:is>
          <x:t xml:space="preserve">S&amp;R</x:t>
        </x:is>
      </x:c>
      <x:c r="D163" s="16">
        <x:v>308</x:v>
      </x:c>
      <x:c r="E163" s="16">
        <x:v>19</x:v>
      </x:c>
      <x:c r="F163" s="16">
        <x:v>3399</x:v>
      </x:c>
      <x:c r="G163" s="16">
        <x:v>215</x:v>
      </x:c>
      <x:c r="H163" s="25">
        <x:f>E163/D163</x:f>
        <x:v>0.06168831168831169</x:v>
      </x:c>
      <x:c r="I163" s="25">
        <x:f>G163/F163</x:f>
        <x:v>0.06325389820535451</x:v>
      </x:c>
      <x:c r="J163" s="32">
        <x:f>(H163-I163)*100</x:f>
        <x:v>-0.1565586517042826</x:v>
      </x:c>
      <x:c r="K163"/>
    </x:row>
    <x:row r="164" ht="22" customHeight="1">
      <x:c r="A164" s="21" t="n">
        <x:v>2024</x:v>
      </x:c>
      <x:c r="B164" s="13" t="inlineStr">
        <x:is>
          <x:t xml:space="preserve">CDU/CSU</x:t>
        </x:is>
      </x:c>
      <x:c r="C164" s="13" t="inlineStr">
        <x:is>
          <x:t xml:space="preserve">Ökologie</x:t>
        </x:is>
      </x:c>
      <x:c r="D164" s="14">
        <x:v>1054</x:v>
      </x:c>
      <x:c r="E164" s="14">
        <x:v>160</x:v>
      </x:c>
      <x:c r="F164" s="14">
        <x:v>3906</x:v>
      </x:c>
      <x:c r="G164" s="14">
        <x:v>688</x:v>
      </x:c>
      <x:c r="H164" s="22">
        <x:f>E164/D164</x:f>
        <x:v>0.15180265654648956</x:v>
      </x:c>
      <x:c r="I164" s="22">
        <x:f>G164/F164</x:f>
        <x:v>0.17613927291346645</x:v>
      </x:c>
      <x:c r="J164" s="31">
        <x:f>(H164-I164)*100</x:f>
        <x:v>-2.43366163669769</x:v>
      </x:c>
      <x:c r="K164"/>
    </x:row>
    <x:row r="165" ht="22" customHeight="1">
      <x:c r="A165" s="24" t="n">
        <x:v>2024</x:v>
      </x:c>
      <x:c r="B165" s="15" t="inlineStr">
        <x:is>
          <x:t xml:space="preserve">SPD</x:t>
        </x:is>
      </x:c>
      <x:c r="C165" s="15" t="inlineStr">
        <x:is>
          <x:t xml:space="preserve">Ökologie</x:t>
        </x:is>
      </x:c>
      <x:c r="D165" s="16">
        <x:v>1037</x:v>
      </x:c>
      <x:c r="E165" s="16">
        <x:v>210</x:v>
      </x:c>
      <x:c r="F165" s="16">
        <x:v>3906</x:v>
      </x:c>
      <x:c r="G165" s="16">
        <x:v>688</x:v>
      </x:c>
      <x:c r="H165" s="25">
        <x:f>E165/D165</x:f>
        <x:v>0.20250723240115717</x:v>
      </x:c>
      <x:c r="I165" s="25">
        <x:f>G165/F165</x:f>
        <x:v>0.17613927291346645</x:v>
      </x:c>
      <x:c r="J165" s="32">
        <x:f>(H165-I165)*100</x:f>
        <x:v>2.6367959487690715</x:v>
      </x:c>
      <x:c r="K165"/>
    </x:row>
    <x:row r="166" ht="22" customHeight="1">
      <x:c r="A166" s="21" t="n">
        <x:v>2024</x:v>
      </x:c>
      <x:c r="B166" s="13" t="inlineStr">
        <x:is>
          <x:t xml:space="preserve">Grüne</x:t>
        </x:is>
      </x:c>
      <x:c r="C166" s="13" t="inlineStr">
        <x:is>
          <x:t xml:space="preserve">Ökologie</x:t>
        </x:is>
      </x:c>
      <x:c r="D166" s="14">
        <x:v>716</x:v>
      </x:c>
      <x:c r="E166" s="14">
        <x:v>173</x:v>
      </x:c>
      <x:c r="F166" s="14">
        <x:v>3906</x:v>
      </x:c>
      <x:c r="G166" s="14">
        <x:v>688</x:v>
      </x:c>
      <x:c r="H166" s="22">
        <x:f>E166/D166</x:f>
        <x:v>0.24162011173184358</x:v>
      </x:c>
      <x:c r="I166" s="22">
        <x:f>G166/F166</x:f>
        <x:v>0.17613927291346645</x:v>
      </x:c>
      <x:c r="J166" s="31">
        <x:f>(H166-I166)*100</x:f>
        <x:v>6.548083881837713</x:v>
      </x:c>
      <x:c r="K166"/>
    </x:row>
    <x:row r="167" ht="22" customHeight="1">
      <x:c r="A167" s="24" t="n">
        <x:v>2024</x:v>
      </x:c>
      <x:c r="B167" s="15" t="inlineStr">
        <x:is>
          <x:t xml:space="preserve">FDP</x:t>
        </x:is>
      </x:c>
      <x:c r="C167" s="15" t="inlineStr">
        <x:is>
          <x:t xml:space="preserve">Ökologie</x:t>
        </x:is>
      </x:c>
      <x:c r="D167" s="16">
        <x:v>438</x:v>
      </x:c>
      <x:c r="E167" s="16">
        <x:v>66</x:v>
      </x:c>
      <x:c r="F167" s="16">
        <x:v>3906</x:v>
      </x:c>
      <x:c r="G167" s="16">
        <x:v>688</x:v>
      </x:c>
      <x:c r="H167" s="25">
        <x:f>E167/D167</x:f>
        <x:v>0.1506849315068493</x:v>
      </x:c>
      <x:c r="I167" s="25">
        <x:f>G167/F167</x:f>
        <x:v>0.17613927291346645</x:v>
      </x:c>
      <x:c r="J167" s="32">
        <x:f>(H167-I167)*100</x:f>
        <x:v>-2.545434140661715</x:v>
      </x:c>
      <x:c r="K167"/>
    </x:row>
    <x:row r="168" ht="22" customHeight="1">
      <x:c r="A168" s="21" t="n">
        <x:v>2024</x:v>
      </x:c>
      <x:c r="B168" s="13" t="inlineStr">
        <x:is>
          <x:t xml:space="preserve">AfD</x:t>
        </x:is>
      </x:c>
      <x:c r="C168" s="13" t="inlineStr">
        <x:is>
          <x:t xml:space="preserve">Ökologie</x:t>
        </x:is>
      </x:c>
      <x:c r="D168" s="14">
        <x:v>529</x:v>
      </x:c>
      <x:c r="E168" s="14">
        <x:v>50</x:v>
      </x:c>
      <x:c r="F168" s="14">
        <x:v>3906</x:v>
      </x:c>
      <x:c r="G168" s="14">
        <x:v>688</x:v>
      </x:c>
      <x:c r="H168" s="22">
        <x:f>E168/D168</x:f>
        <x:v>0.0945179584120983</x:v>
      </x:c>
      <x:c r="I168" s="22">
        <x:f>G168/F168</x:f>
        <x:v>0.17613927291346645</x:v>
      </x:c>
      <x:c r="J168" s="31">
        <x:f>(H168-I168)*100</x:f>
        <x:v>-8.162131450136815</x:v>
      </x:c>
      <x:c r="K168"/>
    </x:row>
    <x:row r="169" ht="22" customHeight="1">
      <x:c r="A169" s="24" t="n">
        <x:v>2024</x:v>
      </x:c>
      <x:c r="B169" s="15" t="inlineStr">
        <x:is>
          <x:t xml:space="preserve">Die Linke</x:t>
        </x:is>
      </x:c>
      <x:c r="C169" s="15" t="inlineStr">
        <x:is>
          <x:t xml:space="preserve">Ökologie</x:t>
        </x:is>
      </x:c>
      <x:c r="D169" s="16">
        <x:v>132</x:v>
      </x:c>
      <x:c r="E169" s="16">
        <x:v>29</x:v>
      </x:c>
      <x:c r="F169" s="16">
        <x:v>3906</x:v>
      </x:c>
      <x:c r="G169" s="16">
        <x:v>688</x:v>
      </x:c>
      <x:c r="H169" s="25">
        <x:f>E169/D169</x:f>
        <x:v>0.2196969696969697</x:v>
      </x:c>
      <x:c r="I169" s="25">
        <x:f>G169/F169</x:f>
        <x:v>0.17613927291346645</x:v>
      </x:c>
      <x:c r="J169" s="32">
        <x:f>(H169-I169)*100</x:f>
        <x:v>4.355769678350324</x:v>
      </x:c>
      <x:c r="K169"/>
    </x:row>
    <x:row r="170" ht="22" customHeight="1">
      <x:c r="A170" s="21" t="n">
        <x:v>2024</x:v>
      </x:c>
      <x:c r="B170" s="13" t="inlineStr">
        <x:is>
          <x:t xml:space="preserve">CDU/CSU</x:t>
        </x:is>
      </x:c>
      <x:c r="C170" s="13" t="inlineStr">
        <x:is>
          <x:t xml:space="preserve">Ökonomie</x:t>
        </x:is>
      </x:c>
      <x:c r="D170" s="14">
        <x:v>1054</x:v>
      </x:c>
      <x:c r="E170" s="14">
        <x:v>374</x:v>
      </x:c>
      <x:c r="F170" s="14">
        <x:v>3906</x:v>
      </x:c>
      <x:c r="G170" s="14">
        <x:v>1196</x:v>
      </x:c>
      <x:c r="H170" s="22">
        <x:f>E170/D170</x:f>
        <x:v>0.3548387096774194</x:v>
      </x:c>
      <x:c r="I170" s="22">
        <x:f>G170/F170</x:f>
        <x:v>0.3061955965181772</x:v>
      </x:c>
      <x:c r="J170" s="31">
        <x:f>(H170-I170)*100</x:f>
        <x:v>4.864311315924219</x:v>
      </x:c>
      <x:c r="K170"/>
    </x:row>
    <x:row r="171" ht="22" customHeight="1">
      <x:c r="A171" s="24" t="n">
        <x:v>2024</x:v>
      </x:c>
      <x:c r="B171" s="15" t="inlineStr">
        <x:is>
          <x:t xml:space="preserve">SPD</x:t>
        </x:is>
      </x:c>
      <x:c r="C171" s="15" t="inlineStr">
        <x:is>
          <x:t xml:space="preserve">Ökonomie</x:t>
        </x:is>
      </x:c>
      <x:c r="D171" s="16">
        <x:v>1037</x:v>
      </x:c>
      <x:c r="E171" s="16">
        <x:v>256</x:v>
      </x:c>
      <x:c r="F171" s="16">
        <x:v>3906</x:v>
      </x:c>
      <x:c r="G171" s="16">
        <x:v>1196</x:v>
      </x:c>
      <x:c r="H171" s="25">
        <x:f>E171/D171</x:f>
        <x:v>0.24686595949855353</x:v>
      </x:c>
      <x:c r="I171" s="25">
        <x:f>G171/F171</x:f>
        <x:v>0.3061955965181772</x:v>
      </x:c>
      <x:c r="J171" s="32">
        <x:f>(H171-I171)*100</x:f>
        <x:v>-5.9329637019623656</x:v>
      </x:c>
      <x:c r="K171"/>
    </x:row>
    <x:row r="172" ht="22" customHeight="1">
      <x:c r="A172" s="21" t="n">
        <x:v>2024</x:v>
      </x:c>
      <x:c r="B172" s="13" t="inlineStr">
        <x:is>
          <x:t xml:space="preserve">Grüne</x:t>
        </x:is>
      </x:c>
      <x:c r="C172" s="13" t="inlineStr">
        <x:is>
          <x:t xml:space="preserve">Ökonomie</x:t>
        </x:is>
      </x:c>
      <x:c r="D172" s="14">
        <x:v>716</x:v>
      </x:c>
      <x:c r="E172" s="14">
        <x:v>200</x:v>
      </x:c>
      <x:c r="F172" s="14">
        <x:v>3906</x:v>
      </x:c>
      <x:c r="G172" s="14">
        <x:v>1196</x:v>
      </x:c>
      <x:c r="H172" s="22">
        <x:f>E172/D172</x:f>
        <x:v>0.27932960893854747</x:v>
      </x:c>
      <x:c r="I172" s="22">
        <x:f>G172/F172</x:f>
        <x:v>0.3061955965181772</x:v>
      </x:c>
      <x:c r="J172" s="31">
        <x:f>(H172-I172)*100</x:f>
        <x:v>-2.6865987579629715</x:v>
      </x:c>
      <x:c r="K172"/>
    </x:row>
    <x:row r="173" ht="22" customHeight="1">
      <x:c r="A173" s="24" t="n">
        <x:v>2024</x:v>
      </x:c>
      <x:c r="B173" s="15" t="inlineStr">
        <x:is>
          <x:t xml:space="preserve">FDP</x:t>
        </x:is>
      </x:c>
      <x:c r="C173" s="15" t="inlineStr">
        <x:is>
          <x:t xml:space="preserve">Ökonomie</x:t>
        </x:is>
      </x:c>
      <x:c r="D173" s="16">
        <x:v>438</x:v>
      </x:c>
      <x:c r="E173" s="16">
        <x:v>131</x:v>
      </x:c>
      <x:c r="F173" s="16">
        <x:v>3906</x:v>
      </x:c>
      <x:c r="G173" s="16">
        <x:v>1196</x:v>
      </x:c>
      <x:c r="H173" s="25">
        <x:f>E173/D173</x:f>
        <x:v>0.2990867579908676</x:v>
      </x:c>
      <x:c r="I173" s="25">
        <x:f>G173/F173</x:f>
        <x:v>0.3061955965181772</x:v>
      </x:c>
      <x:c r="J173" s="32">
        <x:f>(H173-I173)*100</x:f>
        <x:v>-0.7108838527309591</x:v>
      </x:c>
      <x:c r="K173"/>
    </x:row>
    <x:row r="174" ht="22" customHeight="1">
      <x:c r="A174" s="21" t="n">
        <x:v>2024</x:v>
      </x:c>
      <x:c r="B174" s="13" t="inlineStr">
        <x:is>
          <x:t xml:space="preserve">AfD</x:t>
        </x:is>
      </x:c>
      <x:c r="C174" s="13" t="inlineStr">
        <x:is>
          <x:t xml:space="preserve">Ökonomie</x:t>
        </x:is>
      </x:c>
      <x:c r="D174" s="14">
        <x:v>529</x:v>
      </x:c>
      <x:c r="E174" s="14">
        <x:v>177</x:v>
      </x:c>
      <x:c r="F174" s="14">
        <x:v>3906</x:v>
      </x:c>
      <x:c r="G174" s="14">
        <x:v>1196</x:v>
      </x:c>
      <x:c r="H174" s="22">
        <x:f>E174/D174</x:f>
        <x:v>0.33459357277882795</x:v>
      </x:c>
      <x:c r="I174" s="22">
        <x:f>G174/F174</x:f>
        <x:v>0.3061955965181772</x:v>
      </x:c>
      <x:c r="J174" s="31">
        <x:f>(H174-I174)*100</x:f>
        <x:v>2.839797626065077</x:v>
      </x:c>
      <x:c r="K174"/>
    </x:row>
    <x:row r="175" ht="22" customHeight="1">
      <x:c r="A175" s="24" t="n">
        <x:v>2024</x:v>
      </x:c>
      <x:c r="B175" s="15" t="inlineStr">
        <x:is>
          <x:t xml:space="preserve">Die Linke</x:t>
        </x:is>
      </x:c>
      <x:c r="C175" s="15" t="inlineStr">
        <x:is>
          <x:t xml:space="preserve">Ökonomie</x:t>
        </x:is>
      </x:c>
      <x:c r="D175" s="16">
        <x:v>132</x:v>
      </x:c>
      <x:c r="E175" s="16">
        <x:v>58</x:v>
      </x:c>
      <x:c r="F175" s="16">
        <x:v>3906</x:v>
      </x:c>
      <x:c r="G175" s="16">
        <x:v>1196</x:v>
      </x:c>
      <x:c r="H175" s="25">
        <x:f>E175/D175</x:f>
        <x:v>0.4393939393939394</x:v>
      </x:c>
      <x:c r="I175" s="25">
        <x:f>G175/F175</x:f>
        <x:v>0.3061955965181772</x:v>
      </x:c>
      <x:c r="J175" s="32">
        <x:f>(H175-I175)*100</x:f>
        <x:v>13.31983428757622</x:v>
      </x:c>
      <x:c r="K175"/>
    </x:row>
    <x:row r="176" ht="22" customHeight="1">
      <x:c r="A176" s="21" t="n">
        <x:v>2024</x:v>
      </x:c>
      <x:c r="B176" s="13" t="inlineStr">
        <x:is>
          <x:t xml:space="preserve">CDU/CSU</x:t>
        </x:is>
      </x:c>
      <x:c r="C176" s="13" t="inlineStr">
        <x:is>
          <x:t xml:space="preserve">S&amp;R</x:t>
        </x:is>
      </x:c>
      <x:c r="D176" s="14">
        <x:v>1054</x:v>
      </x:c>
      <x:c r="E176" s="14">
        <x:v>15</x:v>
      </x:c>
      <x:c r="F176" s="14">
        <x:v>3906</x:v>
      </x:c>
      <x:c r="G176" s="14">
        <x:v>92</x:v>
      </x:c>
      <x:c r="H176" s="22">
        <x:f>E176/D176</x:f>
        <x:v>0.014231499051233396</x:v>
      </x:c>
      <x:c r="I176" s="22">
        <x:f>G176/F176</x:f>
        <x:v>0.023553507424475168</x:v>
      </x:c>
      <x:c r="J176" s="31">
        <x:f>(H176-I176)*100</x:f>
        <x:v>-0.9322008373241772</x:v>
      </x:c>
      <x:c r="K176"/>
    </x:row>
    <x:row r="177" ht="22" customHeight="1">
      <x:c r="A177" s="24" t="n">
        <x:v>2024</x:v>
      </x:c>
      <x:c r="B177" s="15" t="inlineStr">
        <x:is>
          <x:t xml:space="preserve">SPD</x:t>
        </x:is>
      </x:c>
      <x:c r="C177" s="15" t="inlineStr">
        <x:is>
          <x:t xml:space="preserve">S&amp;R</x:t>
        </x:is>
      </x:c>
      <x:c r="D177" s="16">
        <x:v>1037</x:v>
      </x:c>
      <x:c r="E177" s="16">
        <x:v>26</x:v>
      </x:c>
      <x:c r="F177" s="16">
        <x:v>3906</x:v>
      </x:c>
      <x:c r="G177" s="16">
        <x:v>92</x:v>
      </x:c>
      <x:c r="H177" s="25">
        <x:f>E177/D177</x:f>
        <x:v>0.02507232401157184</x:v>
      </x:c>
      <x:c r="I177" s="25">
        <x:f>G177/F177</x:f>
        <x:v>0.023553507424475168</x:v>
      </x:c>
      <x:c r="J177" s="32">
        <x:f>(H177-I177)*100</x:f>
        <x:v>0.15188165870966724</x:v>
      </x:c>
      <x:c r="K177"/>
    </x:row>
    <x:row r="178" ht="22" customHeight="1">
      <x:c r="A178" s="21" t="n">
        <x:v>2024</x:v>
      </x:c>
      <x:c r="B178" s="13" t="inlineStr">
        <x:is>
          <x:t xml:space="preserve">Grüne</x:t>
        </x:is>
      </x:c>
      <x:c r="C178" s="13" t="inlineStr">
        <x:is>
          <x:t xml:space="preserve">S&amp;R</x:t>
        </x:is>
      </x:c>
      <x:c r="D178" s="14">
        <x:v>716</x:v>
      </x:c>
      <x:c r="E178" s="14">
        <x:v>27</x:v>
      </x:c>
      <x:c r="F178" s="14">
        <x:v>3906</x:v>
      </x:c>
      <x:c r="G178" s="14">
        <x:v>92</x:v>
      </x:c>
      <x:c r="H178" s="22">
        <x:f>E178/D178</x:f>
        <x:v>0.03770949720670391</x:v>
      </x:c>
      <x:c r="I178" s="22">
        <x:f>G178/F178</x:f>
        <x:v>0.023553507424475168</x:v>
      </x:c>
      <x:c r="J178" s="31">
        <x:f>(H178-I178)*100</x:f>
        <x:v>1.4155989782228744</x:v>
      </x:c>
      <x:c r="K178"/>
    </x:row>
    <x:row r="179" ht="22" customHeight="1">
      <x:c r="A179" s="24" t="n">
        <x:v>2024</x:v>
      </x:c>
      <x:c r="B179" s="15" t="inlineStr">
        <x:is>
          <x:t xml:space="preserve">FDP</x:t>
        </x:is>
      </x:c>
      <x:c r="C179" s="15" t="inlineStr">
        <x:is>
          <x:t xml:space="preserve">S&amp;R</x:t>
        </x:is>
      </x:c>
      <x:c r="D179" s="16">
        <x:v>438</x:v>
      </x:c>
      <x:c r="E179" s="16">
        <x:v>8</x:v>
      </x:c>
      <x:c r="F179" s="16">
        <x:v>3906</x:v>
      </x:c>
      <x:c r="G179" s="16">
        <x:v>92</x:v>
      </x:c>
      <x:c r="H179" s="25">
        <x:f>E179/D179</x:f>
        <x:v>0.0182648401826484</x:v>
      </x:c>
      <x:c r="I179" s="25">
        <x:f>G179/F179</x:f>
        <x:v>0.023553507424475168</x:v>
      </x:c>
      <x:c r="J179" s="32">
        <x:f>(H179-I179)*100</x:f>
        <x:v>-0.5288667241826768</x:v>
      </x:c>
      <x:c r="K179"/>
    </x:row>
    <x:row r="180" ht="22" customHeight="1">
      <x:c r="A180" s="21" t="n">
        <x:v>2024</x:v>
      </x:c>
      <x:c r="B180" s="13" t="inlineStr">
        <x:is>
          <x:t xml:space="preserve">AfD</x:t>
        </x:is>
      </x:c>
      <x:c r="C180" s="13" t="inlineStr">
        <x:is>
          <x:t xml:space="preserve">S&amp;R</x:t>
        </x:is>
      </x:c>
      <x:c r="D180" s="14">
        <x:v>529</x:v>
      </x:c>
      <x:c r="E180" s="14">
        <x:v>16</x:v>
      </x:c>
      <x:c r="F180" s="14">
        <x:v>3906</x:v>
      </x:c>
      <x:c r="G180" s="14">
        <x:v>92</x:v>
      </x:c>
      <x:c r="H180" s="22">
        <x:f>E180/D180</x:f>
        <x:v>0.030245746691871456</x:v>
      </x:c>
      <x:c r="I180" s="22">
        <x:f>G180/F180</x:f>
        <x:v>0.023553507424475168</x:v>
      </x:c>
      <x:c r="J180" s="31">
        <x:f>(H180-I180)*100</x:f>
        <x:v>0.6692239267396288</x:v>
      </x:c>
      <x:c r="K180"/>
    </x:row>
    <x:row r="181" ht="22" customHeight="1">
      <x:c r="A181" s="24" t="n">
        <x:v>2024</x:v>
      </x:c>
      <x:c r="B181" s="15" t="inlineStr">
        <x:is>
          <x:t xml:space="preserve">Die Linke</x:t>
        </x:is>
      </x:c>
      <x:c r="C181" s="15" t="inlineStr">
        <x:is>
          <x:t xml:space="preserve">S&amp;R</x:t>
        </x:is>
      </x:c>
      <x:c r="D181" s="16">
        <x:v>132</x:v>
      </x:c>
      <x:c r="E181" s="16">
        <x:v>0</x:v>
      </x:c>
      <x:c r="F181" s="16">
        <x:v>3906</x:v>
      </x:c>
      <x:c r="G181" s="16">
        <x:v>92</x:v>
      </x:c>
      <x:c r="H181" s="25">
        <x:f>E181/D181</x:f>
        <x:v>0.0</x:v>
      </x:c>
      <x:c r="I181" s="25">
        <x:f>G181/F181</x:f>
        <x:v>0.023553507424475168</x:v>
      </x:c>
      <x:c r="J181" s="32">
        <x:f>(H181-I181)*100</x:f>
        <x:v>-2.355350742447517</x:v>
      </x:c>
      <x:c r="K181"/>
    </x:row>
    <x:row r="182" ht="22" customHeight="1">
      <x:c r="A182" s="21" t="n">
        <x:v>2025</x:v>
      </x:c>
      <x:c r="B182" s="13" t="inlineStr">
        <x:is>
          <x:t xml:space="preserve">CDU/CSU</x:t>
        </x:is>
      </x:c>
      <x:c r="C182" s="13" t="inlineStr">
        <x:is>
          <x:t xml:space="preserve">Ökologie</x:t>
        </x:is>
      </x:c>
      <x:c r="D182" s="14">
        <x:v>746</x:v>
      </x:c>
      <x:c r="E182" s="14">
        <x:v>151</x:v>
      </x:c>
      <x:c r="F182" s="14">
        <x:v>2275</x:v>
      </x:c>
      <x:c r="G182" s="14">
        <x:v>542</x:v>
      </x:c>
      <x:c r="H182" s="22">
        <x:f>E182/D182</x:f>
        <x:v>0.20241286863270777</x:v>
      </x:c>
      <x:c r="I182" s="22">
        <x:f>G182/F182</x:f>
        <x:v>0.23824175824175825</x:v>
      </x:c>
      <x:c r="J182" s="31">
        <x:f>(H182-I182)*100</x:f>
        <x:v>-3.582888960905048</x:v>
      </x:c>
      <x:c r="K182"/>
    </x:row>
    <x:row r="183" ht="22" customHeight="1">
      <x:c r="A183" s="24" t="n">
        <x:v>2025</x:v>
      </x:c>
      <x:c r="B183" s="15" t="inlineStr">
        <x:is>
          <x:t xml:space="preserve">SPD</x:t>
        </x:is>
      </x:c>
      <x:c r="C183" s="15" t="inlineStr">
        <x:is>
          <x:t xml:space="preserve">Ökologie</x:t>
        </x:is>
      </x:c>
      <x:c r="D183" s="16">
        <x:v>411</x:v>
      </x:c>
      <x:c r="E183" s="16">
        <x:v>131</x:v>
      </x:c>
      <x:c r="F183" s="16">
        <x:v>2275</x:v>
      </x:c>
      <x:c r="G183" s="16">
        <x:v>542</x:v>
      </x:c>
      <x:c r="H183" s="25">
        <x:f>E183/D183</x:f>
        <x:v>0.31873479318734793</x:v>
      </x:c>
      <x:c r="I183" s="25">
        <x:f>G183/F183</x:f>
        <x:v>0.23824175824175825</x:v>
      </x:c>
      <x:c r="J183" s="32">
        <x:f>(H183-I183)*100</x:f>
        <x:v>8.049303494558968</x:v>
      </x:c>
      <x:c r="K183"/>
    </x:row>
    <x:row r="184" ht="22" customHeight="1">
      <x:c r="A184" s="21" t="n">
        <x:v>2025</x:v>
      </x:c>
      <x:c r="B184" s="13" t="inlineStr">
        <x:is>
          <x:t xml:space="preserve">Grüne</x:t>
        </x:is>
      </x:c>
      <x:c r="C184" s="13" t="inlineStr">
        <x:is>
          <x:t xml:space="preserve">Ökologie</x:t>
        </x:is>
      </x:c>
      <x:c r="D184" s="14">
        <x:v>358</x:v>
      </x:c>
      <x:c r="E184" s="14">
        <x:v>115</x:v>
      </x:c>
      <x:c r="F184" s="14">
        <x:v>2275</x:v>
      </x:c>
      <x:c r="G184" s="14">
        <x:v>542</x:v>
      </x:c>
      <x:c r="H184" s="22">
        <x:f>E184/D184</x:f>
        <x:v>0.32122905027932963</x:v>
      </x:c>
      <x:c r="I184" s="22">
        <x:f>G184/F184</x:f>
        <x:v>0.23824175824175825</x:v>
      </x:c>
      <x:c r="J184" s="31">
        <x:f>(H184-I184)*100</x:f>
        <x:v>8.298729203757137</x:v>
      </x:c>
      <x:c r="K184"/>
    </x:row>
    <x:row r="185" ht="22" customHeight="1">
      <x:c r="A185" s="24" t="n">
        <x:v>2025</x:v>
      </x:c>
      <x:c r="B185" s="15" t="inlineStr">
        <x:is>
          <x:t xml:space="preserve">FDP</x:t>
        </x:is>
      </x:c>
      <x:c r="C185" s="15" t="inlineStr">
        <x:is>
          <x:t xml:space="preserve">Ökologie</x:t>
        </x:is>
      </x:c>
      <x:c r="D185" s="16">
        <x:v>3</x:v>
      </x:c>
      <x:c r="E185" s="16">
        <x:v>0</x:v>
      </x:c>
      <x:c r="F185" s="16">
        <x:v>2275</x:v>
      </x:c>
      <x:c r="G185" s="16">
        <x:v>542</x:v>
      </x:c>
      <x:c r="H185" s="25" t="inlineStr">
        <x:is>
          <x:t xml:space="preserve">n.a.¹</x:t>
        </x:is>
      </x:c>
      <x:c r="I185" s="25">
        <x:f>G185/F185</x:f>
        <x:v>0.23824175824175825</x:v>
      </x:c>
      <x:c r="J185" s="32" t="inlineStr">
        <x:is>
          <x:t xml:space="preserve">n.a.¹</x:t>
        </x:is>
      </x:c>
      <x:c r="K185"/>
    </x:row>
    <x:row r="186" ht="22" customHeight="1">
      <x:c r="A186" s="21" t="n">
        <x:v>2025</x:v>
      </x:c>
      <x:c r="B186" s="13" t="inlineStr">
        <x:is>
          <x:t xml:space="preserve">AfD</x:t>
        </x:is>
      </x:c>
      <x:c r="C186" s="13" t="inlineStr">
        <x:is>
          <x:t xml:space="preserve">Ökologie</x:t>
        </x:is>
      </x:c>
      <x:c r="D186" s="14">
        <x:v>511</x:v>
      </x:c>
      <x:c r="E186" s="14">
        <x:v>88</x:v>
      </x:c>
      <x:c r="F186" s="14">
        <x:v>2275</x:v>
      </x:c>
      <x:c r="G186" s="14">
        <x:v>542</x:v>
      </x:c>
      <x:c r="H186" s="22">
        <x:f>E186/D186</x:f>
        <x:v>0.17221135029354206</x:v>
      </x:c>
      <x:c r="I186" s="22">
        <x:f>G186/F186</x:f>
        <x:v>0.23824175824175825</x:v>
      </x:c>
      <x:c r="J186" s="31">
        <x:f>(H186-I186)*100</x:f>
        <x:v>-6.603040794821618</x:v>
      </x:c>
      <x:c r="K186"/>
    </x:row>
    <x:row r="187" ht="22" customHeight="1">
      <x:c r="A187" s="24" t="n">
        <x:v>2025</x:v>
      </x:c>
      <x:c r="B187" s="15" t="inlineStr">
        <x:is>
          <x:t xml:space="preserve">Die Linke</x:t>
        </x:is>
      </x:c>
      <x:c r="C187" s="15" t="inlineStr">
        <x:is>
          <x:t xml:space="preserve">Ökologie</x:t>
        </x:is>
      </x:c>
      <x:c r="D187" s="16">
        <x:v>246</x:v>
      </x:c>
      <x:c r="E187" s="16">
        <x:v>57</x:v>
      </x:c>
      <x:c r="F187" s="16">
        <x:v>2275</x:v>
      </x:c>
      <x:c r="G187" s="16">
        <x:v>542</x:v>
      </x:c>
      <x:c r="H187" s="25">
        <x:f>E187/D187</x:f>
        <x:v>0.23170731707317074</x:v>
      </x:c>
      <x:c r="I187" s="25">
        <x:f>G187/F187</x:f>
        <x:v>0.23824175824175825</x:v>
      </x:c>
      <x:c r="J187" s="32">
        <x:f>(H187-I187)*100</x:f>
        <x:v>-0.6534441168587507</x:v>
      </x:c>
      <x:c r="K187"/>
    </x:row>
    <x:row r="188" ht="22" customHeight="1">
      <x:c r="A188" s="21" t="n">
        <x:v>2025</x:v>
      </x:c>
      <x:c r="B188" s="13" t="inlineStr">
        <x:is>
          <x:t xml:space="preserve">CDU/CSU</x:t>
        </x:is>
      </x:c>
      <x:c r="C188" s="13" t="inlineStr">
        <x:is>
          <x:t xml:space="preserve">Ökonomie</x:t>
        </x:is>
      </x:c>
      <x:c r="D188" s="14">
        <x:v>746</x:v>
      </x:c>
      <x:c r="E188" s="14">
        <x:v>218</x:v>
      </x:c>
      <x:c r="F188" s="14">
        <x:v>2275</x:v>
      </x:c>
      <x:c r="G188" s="14">
        <x:v>675</x:v>
      </x:c>
      <x:c r="H188" s="22">
        <x:f>E188/D188</x:f>
        <x:v>0.29222520107238603</x:v>
      </x:c>
      <x:c r="I188" s="22">
        <x:f>G188/F188</x:f>
        <x:v>0.2967032967032967</x:v>
      </x:c>
      <x:c r="J188" s="31">
        <x:f>(H188-I188)*100</x:f>
        <x:v>-0.44780956309106723</x:v>
      </x:c>
      <x:c r="K188"/>
    </x:row>
    <x:row r="189" ht="22" customHeight="1">
      <x:c r="A189" s="24" t="n">
        <x:v>2025</x:v>
      </x:c>
      <x:c r="B189" s="15" t="inlineStr">
        <x:is>
          <x:t xml:space="preserve">SPD</x:t>
        </x:is>
      </x:c>
      <x:c r="C189" s="15" t="inlineStr">
        <x:is>
          <x:t xml:space="preserve">Ökonomie</x:t>
        </x:is>
      </x:c>
      <x:c r="D189" s="16">
        <x:v>411</x:v>
      </x:c>
      <x:c r="E189" s="16">
        <x:v>98</x:v>
      </x:c>
      <x:c r="F189" s="16">
        <x:v>2275</x:v>
      </x:c>
      <x:c r="G189" s="16">
        <x:v>675</x:v>
      </x:c>
      <x:c r="H189" s="25">
        <x:f>E189/D189</x:f>
        <x:v>0.2384428223844282</x:v>
      </x:c>
      <x:c r="I189" s="25">
        <x:f>G189/F189</x:f>
        <x:v>0.2967032967032967</x:v>
      </x:c>
      <x:c r="J189" s="32">
        <x:f>(H189-I189)*100</x:f>
        <x:v>-5.826047431886849</x:v>
      </x:c>
      <x:c r="K189"/>
    </x:row>
    <x:row r="190" ht="22" customHeight="1">
      <x:c r="A190" s="21" t="n">
        <x:v>2025</x:v>
      </x:c>
      <x:c r="B190" s="13" t="inlineStr">
        <x:is>
          <x:t xml:space="preserve">Grüne</x:t>
        </x:is>
      </x:c>
      <x:c r="C190" s="13" t="inlineStr">
        <x:is>
          <x:t xml:space="preserve">Ökonomie</x:t>
        </x:is>
      </x:c>
      <x:c r="D190" s="14">
        <x:v>358</x:v>
      </x:c>
      <x:c r="E190" s="14">
        <x:v>79</x:v>
      </x:c>
      <x:c r="F190" s="14">
        <x:v>2275</x:v>
      </x:c>
      <x:c r="G190" s="14">
        <x:v>675</x:v>
      </x:c>
      <x:c r="H190" s="22">
        <x:f>E190/D190</x:f>
        <x:v>0.2206703910614525</x:v>
      </x:c>
      <x:c r="I190" s="22">
        <x:f>G190/F190</x:f>
        <x:v>0.2967032967032967</x:v>
      </x:c>
      <x:c r="J190" s="31">
        <x:f>(H190-I190)*100</x:f>
        <x:v>-7.60329056418442</x:v>
      </x:c>
      <x:c r="K190"/>
    </x:row>
    <x:row r="191" ht="22" customHeight="1">
      <x:c r="A191" s="24" t="n">
        <x:v>2025</x:v>
      </x:c>
      <x:c r="B191" s="15" t="inlineStr">
        <x:is>
          <x:t xml:space="preserve">FDP</x:t>
        </x:is>
      </x:c>
      <x:c r="C191" s="15" t="inlineStr">
        <x:is>
          <x:t xml:space="preserve">Ökonomie</x:t>
        </x:is>
      </x:c>
      <x:c r="D191" s="16">
        <x:v>3</x:v>
      </x:c>
      <x:c r="E191" s="16">
        <x:v>3</x:v>
      </x:c>
      <x:c r="F191" s="16">
        <x:v>2275</x:v>
      </x:c>
      <x:c r="G191" s="16">
        <x:v>675</x:v>
      </x:c>
      <x:c r="H191" s="25" t="inlineStr">
        <x:is>
          <x:t xml:space="preserve">n.a.¹</x:t>
        </x:is>
      </x:c>
      <x:c r="I191" s="25">
        <x:f>G191/F191</x:f>
        <x:v>0.2967032967032967</x:v>
      </x:c>
      <x:c r="J191" s="32" t="inlineStr">
        <x:is>
          <x:t xml:space="preserve">n.a.¹</x:t>
        </x:is>
      </x:c>
      <x:c r="K191"/>
    </x:row>
    <x:row r="192" ht="22" customHeight="1">
      <x:c r="A192" s="21" t="n">
        <x:v>2025</x:v>
      </x:c>
      <x:c r="B192" s="13" t="inlineStr">
        <x:is>
          <x:t xml:space="preserve">AfD</x:t>
        </x:is>
      </x:c>
      <x:c r="C192" s="13" t="inlineStr">
        <x:is>
          <x:t xml:space="preserve">Ökonomie</x:t>
        </x:is>
      </x:c>
      <x:c r="D192" s="14">
        <x:v>511</x:v>
      </x:c>
      <x:c r="E192" s="14">
        <x:v>179</x:v>
      </x:c>
      <x:c r="F192" s="14">
        <x:v>2275</x:v>
      </x:c>
      <x:c r="G192" s="14">
        <x:v>675</x:v>
      </x:c>
      <x:c r="H192" s="22">
        <x:f>E192/D192</x:f>
        <x:v>0.350293542074364</x:v>
      </x:c>
      <x:c r="I192" s="22">
        <x:f>G192/F192</x:f>
        <x:v>0.2967032967032967</x:v>
      </x:c>
      <x:c r="J192" s="31">
        <x:f>(H192-I192)*100</x:f>
        <x:v>5.359024537106727</x:v>
      </x:c>
      <x:c r="K192"/>
    </x:row>
    <x:row r="193" ht="22" customHeight="1">
      <x:c r="A193" s="24" t="n">
        <x:v>2025</x:v>
      </x:c>
      <x:c r="B193" s="15" t="inlineStr">
        <x:is>
          <x:t xml:space="preserve">Die Linke</x:t>
        </x:is>
      </x:c>
      <x:c r="C193" s="15" t="inlineStr">
        <x:is>
          <x:t xml:space="preserve">Ökonomie</x:t>
        </x:is>
      </x:c>
      <x:c r="D193" s="16">
        <x:v>246</x:v>
      </x:c>
      <x:c r="E193" s="16">
        <x:v>98</x:v>
      </x:c>
      <x:c r="F193" s="16">
        <x:v>2275</x:v>
      </x:c>
      <x:c r="G193" s="16">
        <x:v>675</x:v>
      </x:c>
      <x:c r="H193" s="25">
        <x:f>E193/D193</x:f>
        <x:v>0.3983739837398374</x:v>
      </x:c>
      <x:c r="I193" s="25">
        <x:f>G193/F193</x:f>
        <x:v>0.2967032967032967</x:v>
      </x:c>
      <x:c r="J193" s="32">
        <x:f>(H193-I193)*100</x:f>
        <x:v>10.16706870365407</x:v>
      </x:c>
      <x:c r="K193"/>
    </x:row>
    <x:row r="194" ht="22" customHeight="1">
      <x:c r="A194" s="21" t="n">
        <x:v>2025</x:v>
      </x:c>
      <x:c r="B194" s="13" t="inlineStr">
        <x:is>
          <x:t xml:space="preserve">CDU/CSU</x:t>
        </x:is>
      </x:c>
      <x:c r="C194" s="13" t="inlineStr">
        <x:is>
          <x:t xml:space="preserve">S&amp;R</x:t>
        </x:is>
      </x:c>
      <x:c r="D194" s="14">
        <x:v>746</x:v>
      </x:c>
      <x:c r="E194" s="14">
        <x:v>35</x:v>
      </x:c>
      <x:c r="F194" s="14">
        <x:v>2275</x:v>
      </x:c>
      <x:c r="G194" s="14">
        <x:v>102</x:v>
      </x:c>
      <x:c r="H194" s="22">
        <x:f>E194/D194</x:f>
        <x:v>0.04691689008042895</x:v>
      </x:c>
      <x:c r="I194" s="22">
        <x:f>G194/F194</x:f>
        <x:v>0.04483516483516484</x:v>
      </x:c>
      <x:c r="J194" s="31">
        <x:f>(H194-I194)*100</x:f>
        <x:v>0.2081725245264114</x:v>
      </x:c>
      <x:c r="K194"/>
    </x:row>
    <x:row r="195" ht="22" customHeight="1">
      <x:c r="A195" s="24" t="n">
        <x:v>2025</x:v>
      </x:c>
      <x:c r="B195" s="15" t="inlineStr">
        <x:is>
          <x:t xml:space="preserve">SPD</x:t>
        </x:is>
      </x:c>
      <x:c r="C195" s="15" t="inlineStr">
        <x:is>
          <x:t xml:space="preserve">S&amp;R</x:t>
        </x:is>
      </x:c>
      <x:c r="D195" s="16">
        <x:v>411</x:v>
      </x:c>
      <x:c r="E195" s="16">
        <x:v>17</x:v>
      </x:c>
      <x:c r="F195" s="16">
        <x:v>2275</x:v>
      </x:c>
      <x:c r="G195" s="16">
        <x:v>102</x:v>
      </x:c>
      <x:c r="H195" s="25">
        <x:f>E195/D195</x:f>
        <x:v>0.0413625304136253</x:v>
      </x:c>
      <x:c r="I195" s="25">
        <x:f>G195/F195</x:f>
        <x:v>0.04483516483516484</x:v>
      </x:c>
      <x:c r="J195" s="32">
        <x:f>(H195-I195)*100</x:f>
        <x:v>-0.34726344215395344</x:v>
      </x:c>
      <x:c r="K195"/>
    </x:row>
    <x:row r="196" ht="22" customHeight="1">
      <x:c r="A196" s="21" t="n">
        <x:v>2025</x:v>
      </x:c>
      <x:c r="B196" s="13" t="inlineStr">
        <x:is>
          <x:t xml:space="preserve">Grüne</x:t>
        </x:is>
      </x:c>
      <x:c r="C196" s="13" t="inlineStr">
        <x:is>
          <x:t xml:space="preserve">S&amp;R</x:t>
        </x:is>
      </x:c>
      <x:c r="D196" s="14">
        <x:v>358</x:v>
      </x:c>
      <x:c r="E196" s="14">
        <x:v>15</x:v>
      </x:c>
      <x:c r="F196" s="14">
        <x:v>2275</x:v>
      </x:c>
      <x:c r="G196" s="14">
        <x:v>102</x:v>
      </x:c>
      <x:c r="H196" s="22">
        <x:f>E196/D196</x:f>
        <x:v>0.04189944134078212</x:v>
      </x:c>
      <x:c r="I196" s="22">
        <x:f>G196/F196</x:f>
        <x:v>0.04483516483516484</x:v>
      </x:c>
      <x:c r="J196" s="31">
        <x:f>(H196-I196)*100</x:f>
        <x:v>-0.29357234943827165</x:v>
      </x:c>
      <x:c r="K196"/>
    </x:row>
    <x:row r="197" ht="22" customHeight="1">
      <x:c r="A197" s="24" t="n">
        <x:v>2025</x:v>
      </x:c>
      <x:c r="B197" s="15" t="inlineStr">
        <x:is>
          <x:t xml:space="preserve">FDP</x:t>
        </x:is>
      </x:c>
      <x:c r="C197" s="15" t="inlineStr">
        <x:is>
          <x:t xml:space="preserve">S&amp;R</x:t>
        </x:is>
      </x:c>
      <x:c r="D197" s="16">
        <x:v>3</x:v>
      </x:c>
      <x:c r="E197" s="16">
        <x:v>0</x:v>
      </x:c>
      <x:c r="F197" s="16">
        <x:v>2275</x:v>
      </x:c>
      <x:c r="G197" s="16">
        <x:v>102</x:v>
      </x:c>
      <x:c r="H197" s="25" t="inlineStr">
        <x:is>
          <x:t xml:space="preserve">n.a.¹</x:t>
        </x:is>
      </x:c>
      <x:c r="I197" s="25">
        <x:f>G197/F197</x:f>
        <x:v>0.04483516483516484</x:v>
      </x:c>
      <x:c r="J197" s="32" t="inlineStr">
        <x:is>
          <x:t xml:space="preserve">n.a.¹</x:t>
        </x:is>
      </x:c>
      <x:c r="K197"/>
    </x:row>
    <x:row r="198" ht="22" customHeight="1">
      <x:c r="A198" s="21" t="n">
        <x:v>2025</x:v>
      </x:c>
      <x:c r="B198" s="13" t="inlineStr">
        <x:is>
          <x:t xml:space="preserve">AfD</x:t>
        </x:is>
      </x:c>
      <x:c r="C198" s="13" t="inlineStr">
        <x:is>
          <x:t xml:space="preserve">S&amp;R</x:t>
        </x:is>
      </x:c>
      <x:c r="D198" s="14">
        <x:v>511</x:v>
      </x:c>
      <x:c r="E198" s="14">
        <x:v>25</x:v>
      </x:c>
      <x:c r="F198" s="14">
        <x:v>2275</x:v>
      </x:c>
      <x:c r="G198" s="14">
        <x:v>102</x:v>
      </x:c>
      <x:c r="H198" s="22">
        <x:f>E198/D198</x:f>
        <x:v>0.04892367906066536</x:v>
      </x:c>
      <x:c r="I198" s="22">
        <x:f>G198/F198</x:f>
        <x:v>0.04483516483516484</x:v>
      </x:c>
      <x:c r="J198" s="31">
        <x:f>(H198-I198)*100</x:f>
        <x:v>0.40885142255005225</x:v>
      </x:c>
      <x:c r="K198"/>
    </x:row>
    <x:row r="199" ht="22" customHeight="1">
      <x:c r="A199" s="40" t="n">
        <x:v>2025</x:v>
      </x:c>
      <x:c r="B199" s="34" t="inlineStr">
        <x:is>
          <x:t xml:space="preserve">Die Linke</x:t>
        </x:is>
      </x:c>
      <x:c r="C199" s="34" t="inlineStr">
        <x:is>
          <x:t xml:space="preserve">S&amp;R</x:t>
        </x:is>
      </x:c>
      <x:c r="D199" s="35">
        <x:v>246</x:v>
      </x:c>
      <x:c r="E199" s="35">
        <x:v>10</x:v>
      </x:c>
      <x:c r="F199" s="35">
        <x:v>2275</x:v>
      </x:c>
      <x:c r="G199" s="35">
        <x:v>102</x:v>
      </x:c>
      <x:c r="H199" s="36">
        <x:f>E199/D199</x:f>
        <x:v>0.04065040650406504</x:v>
      </x:c>
      <x:c r="I199" s="36">
        <x:f>G199/F199</x:f>
        <x:v>0.04483516483516484</x:v>
      </x:c>
      <x:c r="J199" s="41">
        <x:f>(H199-I199)*100</x:f>
        <x:v>-0.4184758331099797</x:v>
      </x:c>
      <x:c r="K199"/>
    </x:row>
    <x:row r="200" ht="22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  <x:row r="201" ht="22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</x:row>
    <x:row r="202" ht="26" customHeight="1">
      <x:c r="A202" s="10" t="inlineStr">
        <x:is>
          <x:t xml:space="preserve">Alle Einzelveränderungen</x:t>
        </x:is>
      </x:c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</x:row>
    <x:row r="203" ht="54" customHeight="1">
      <x:c r="A203" s="11" t="inlineStr">
        <x:is>
          <x:t xml:space="preserve">Übergang</x:t>
        </x:is>
      </x:c>
      <x:c r="B203" s="20" t="inlineStr">
        <x:is>
          <x:t xml:space="preserve">Fraktion</x:t>
        </x:is>
      </x:c>
      <x:c r="C203" s="20" t="inlineStr">
        <x:is>
          <x:t xml:space="preserve">Dimension</x:t>
        </x:is>
      </x:c>
      <x:c r="D203" s="20" t="inlineStr">
        <x:is>
          <x:t xml:space="preserve">A&amp;E vorher</x:t>
        </x:is>
      </x:c>
      <x:c r="E203" s="20" t="inlineStr">
        <x:is>
          <x:t xml:space="preserve">Dimension vorher</x:t>
        </x:is>
      </x:c>
      <x:c r="F203" s="20" t="inlineStr">
        <x:is>
          <x:t xml:space="preserve">A&amp;E danach</x:t>
        </x:is>
      </x:c>
      <x:c r="G203" s="20" t="inlineStr">
        <x:is>
          <x:t xml:space="preserve">Dimension danach</x:t>
        </x:is>
      </x:c>
      <x:c r="H203" s="12" t="inlineStr">
        <x:is>
          <x:t xml:space="preserve">Veränderung (PP)</x:t>
        </x:is>
      </x:c>
      <x:c r="I203" s="1"/>
      <x:c r="J203" s="1"/>
      <x:c r="K203" s="1"/>
    </x:row>
    <x:row r="204" ht="22" customHeight="1">
      <x:c r="A204" s="13" t="inlineStr">
        <x:is>
          <x:t xml:space="preserve">2018/2019</x:t>
        </x:is>
      </x:c>
      <x:c r="B204" s="13" t="inlineStr">
        <x:is>
          <x:t xml:space="preserve">CDU/CSU</x:t>
        </x:is>
      </x:c>
      <x:c r="C204" s="13" t="inlineStr">
        <x:is>
          <x:t xml:space="preserve">Ökologie</x:t>
        </x:is>
      </x:c>
      <x:c r="D204" s="14">
        <x:v>1092</x:v>
      </x:c>
      <x:c r="E204" s="14">
        <x:v>272</x:v>
      </x:c>
      <x:c r="F204" s="14">
        <x:v>946</x:v>
      </x:c>
      <x:c r="G204" s="14">
        <x:v>272</x:v>
      </x:c>
      <x:c r="H204" s="31">
        <x:f>(G204/F204-E204/D204)*100</x:f>
        <x:v>3.8442177977061673</x:v>
      </x:c>
      <x:c r="I204" s="1"/>
      <x:c r="J204" s="1"/>
      <x:c r="K204" s="1"/>
    </x:row>
    <x:row r="205" ht="22" customHeight="1">
      <x:c r="A205" s="15" t="inlineStr">
        <x:is>
          <x:t xml:space="preserve">2018/2019</x:t>
        </x:is>
      </x:c>
      <x:c r="B205" s="15" t="inlineStr">
        <x:is>
          <x:t xml:space="preserve">SPD</x:t>
        </x:is>
      </x:c>
      <x:c r="C205" s="15" t="inlineStr">
        <x:is>
          <x:t xml:space="preserve">Ökologie</x:t>
        </x:is>
      </x:c>
      <x:c r="D205" s="16">
        <x:v>744</x:v>
      </x:c>
      <x:c r="E205" s="16">
        <x:v>267</x:v>
      </x:c>
      <x:c r="F205" s="16">
        <x:v>554</x:v>
      </x:c>
      <x:c r="G205" s="16">
        <x:v>190</x:v>
      </x:c>
      <x:c r="H205" s="32">
        <x:f>(G205/F205-E205/D205)*100</x:f>
        <x:v>-1.591067893327125</x:v>
      </x:c>
      <x:c r="I205" s="1"/>
      <x:c r="J205" s="1"/>
      <x:c r="K205" s="1"/>
    </x:row>
    <x:row r="206" ht="22" customHeight="1">
      <x:c r="A206" s="13" t="inlineStr">
        <x:is>
          <x:t xml:space="preserve">2018/2019</x:t>
        </x:is>
      </x:c>
      <x:c r="B206" s="13" t="inlineStr">
        <x:is>
          <x:t xml:space="preserve">Grüne</x:t>
        </x:is>
      </x:c>
      <x:c r="C206" s="13" t="inlineStr">
        <x:is>
          <x:t xml:space="preserve">Ökologie</x:t>
        </x:is>
      </x:c>
      <x:c r="D206" s="14">
        <x:v>320</x:v>
      </x:c>
      <x:c r="E206" s="14">
        <x:v>122</x:v>
      </x:c>
      <x:c r="F206" s="14">
        <x:v>329</x:v>
      </x:c>
      <x:c r="G206" s="14">
        <x:v>118</x:v>
      </x:c>
      <x:c r="H206" s="31">
        <x:f>(G206/F206-E206/D206)*100</x:f>
        <x:v>-2.2587386018237066</x:v>
      </x:c>
      <x:c r="I206" s="1"/>
      <x:c r="J206" s="1"/>
      <x:c r="K206" s="1"/>
    </x:row>
    <x:row r="207" ht="22" customHeight="1">
      <x:c r="A207" s="15" t="inlineStr">
        <x:is>
          <x:t xml:space="preserve">2018/2019</x:t>
        </x:is>
      </x:c>
      <x:c r="B207" s="15" t="inlineStr">
        <x:is>
          <x:t xml:space="preserve">FDP</x:t>
        </x:is>
      </x:c>
      <x:c r="C207" s="15" t="inlineStr">
        <x:is>
          <x:t xml:space="preserve">Ökologie</x:t>
        </x:is>
      </x:c>
      <x:c r="D207" s="16">
        <x:v>353</x:v>
      </x:c>
      <x:c r="E207" s="16">
        <x:v>114</x:v>
      </x:c>
      <x:c r="F207" s="16">
        <x:v>298</x:v>
      </x:c>
      <x:c r="G207" s="16">
        <x:v>89</x:v>
      </x:c>
      <x:c r="H207" s="32">
        <x:f>(G207/F207-E207/D207)*100</x:f>
        <x:v>-2.428845751658837</x:v>
      </x:c>
      <x:c r="I207" s="1"/>
      <x:c r="J207" s="1"/>
      <x:c r="K207" s="1"/>
    </x:row>
    <x:row r="208" ht="22" customHeight="1">
      <x:c r="A208" s="13" t="inlineStr">
        <x:is>
          <x:t xml:space="preserve">2018/2019</x:t>
        </x:is>
      </x:c>
      <x:c r="B208" s="13" t="inlineStr">
        <x:is>
          <x:t xml:space="preserve">AfD</x:t>
        </x:is>
      </x:c>
      <x:c r="C208" s="13" t="inlineStr">
        <x:is>
          <x:t xml:space="preserve">Ökologie</x:t>
        </x:is>
      </x:c>
      <x:c r="D208" s="14">
        <x:v>371</x:v>
      </x:c>
      <x:c r="E208" s="14">
        <x:v>109</x:v>
      </x:c>
      <x:c r="F208" s="14">
        <x:v>345</x:v>
      </x:c>
      <x:c r="G208" s="14">
        <x:v>83</x:v>
      </x:c>
      <x:c r="H208" s="31">
        <x:f>(G208/F208-E208/D208)*100</x:f>
        <x:v>-5.322082893863042</x:v>
      </x:c>
      <x:c r="I208" s="1"/>
      <x:c r="J208" s="1"/>
      <x:c r="K208" s="1"/>
    </x:row>
    <x:row r="209" ht="22" customHeight="1">
      <x:c r="A209" s="15" t="inlineStr">
        <x:is>
          <x:t xml:space="preserve">2018/2019</x:t>
        </x:is>
      </x:c>
      <x:c r="B209" s="15" t="inlineStr">
        <x:is>
          <x:t xml:space="preserve">Die Linke</x:t>
        </x:is>
      </x:c>
      <x:c r="C209" s="15" t="inlineStr">
        <x:is>
          <x:t xml:space="preserve">Ökologie</x:t>
        </x:is>
      </x:c>
      <x:c r="D209" s="16">
        <x:v>354</x:v>
      </x:c>
      <x:c r="E209" s="16">
        <x:v>101</x:v>
      </x:c>
      <x:c r="F209" s="16">
        <x:v>319</x:v>
      </x:c>
      <x:c r="G209" s="16">
        <x:v>94</x:v>
      </x:c>
      <x:c r="H209" s="32">
        <x:f>(G209/F209-E209/D209)*100</x:f>
        <x:v>0.9360111931707493</x:v>
      </x:c>
      <x:c r="I209" s="1"/>
      <x:c r="J209" s="1"/>
      <x:c r="K209" s="1"/>
    </x:row>
    <x:row r="210" ht="22" customHeight="1">
      <x:c r="A210" s="13" t="inlineStr">
        <x:is>
          <x:t xml:space="preserve">2018/2019</x:t>
        </x:is>
      </x:c>
      <x:c r="B210" s="13" t="inlineStr">
        <x:is>
          <x:t xml:space="preserve">CDU/CSU</x:t>
        </x:is>
      </x:c>
      <x:c r="C210" s="13" t="inlineStr">
        <x:is>
          <x:t xml:space="preserve">Ökonomie</x:t>
        </x:is>
      </x:c>
      <x:c r="D210" s="14">
        <x:v>1092</x:v>
      </x:c>
      <x:c r="E210" s="14">
        <x:v>155</x:v>
      </x:c>
      <x:c r="F210" s="14">
        <x:v>946</x:v>
      </x:c>
      <x:c r="G210" s="14">
        <x:v>127</x:v>
      </x:c>
      <x:c r="H210" s="31">
        <x:f>(G210/F210-E210/D210)*100</x:f>
        <x:v>-0.7691920482618159</x:v>
      </x:c>
      <x:c r="I210" s="1"/>
      <x:c r="J210" s="1"/>
      <x:c r="K210" s="1"/>
    </x:row>
    <x:row r="211" ht="22" customHeight="1">
      <x:c r="A211" s="15" t="inlineStr">
        <x:is>
          <x:t xml:space="preserve">2018/2019</x:t>
        </x:is>
      </x:c>
      <x:c r="B211" s="15" t="inlineStr">
        <x:is>
          <x:t xml:space="preserve">SPD</x:t>
        </x:is>
      </x:c>
      <x:c r="C211" s="15" t="inlineStr">
        <x:is>
          <x:t xml:space="preserve">Ökonomie</x:t>
        </x:is>
      </x:c>
      <x:c r="D211" s="16">
        <x:v>744</x:v>
      </x:c>
      <x:c r="E211" s="16">
        <x:v>91</x:v>
      </x:c>
      <x:c r="F211" s="16">
        <x:v>554</x:v>
      </x:c>
      <x:c r="G211" s="16">
        <x:v>63</x:v>
      </x:c>
      <x:c r="H211" s="32">
        <x:f>(G211/F211-E211/D211)*100</x:f>
        <x:v>-0.8593416404642673</x:v>
      </x:c>
      <x:c r="I211" s="1"/>
      <x:c r="J211" s="1"/>
      <x:c r="K211" s="1"/>
    </x:row>
    <x:row r="212" ht="22" customHeight="1">
      <x:c r="A212" s="13" t="inlineStr">
        <x:is>
          <x:t xml:space="preserve">2018/2019</x:t>
        </x:is>
      </x:c>
      <x:c r="B212" s="13" t="inlineStr">
        <x:is>
          <x:t xml:space="preserve">Grüne</x:t>
        </x:is>
      </x:c>
      <x:c r="C212" s="13" t="inlineStr">
        <x:is>
          <x:t xml:space="preserve">Ökonomie</x:t>
        </x:is>
      </x:c>
      <x:c r="D212" s="14">
        <x:v>320</x:v>
      </x:c>
      <x:c r="E212" s="14">
        <x:v>49</x:v>
      </x:c>
      <x:c r="F212" s="14">
        <x:v>329</x:v>
      </x:c>
      <x:c r="G212" s="14">
        <x:v>49</x:v>
      </x:c>
      <x:c r="H212" s="31">
        <x:f>(G212/F212-E212/D212)*100</x:f>
        <x:v>-0.4188829787234061</x:v>
      </x:c>
      <x:c r="I212" s="1"/>
      <x:c r="J212" s="1"/>
      <x:c r="K212" s="1"/>
    </x:row>
    <x:row r="213" ht="22" customHeight="1">
      <x:c r="A213" s="15" t="inlineStr">
        <x:is>
          <x:t xml:space="preserve">2018/2019</x:t>
        </x:is>
      </x:c>
      <x:c r="B213" s="15" t="inlineStr">
        <x:is>
          <x:t xml:space="preserve">FDP</x:t>
        </x:is>
      </x:c>
      <x:c r="C213" s="15" t="inlineStr">
        <x:is>
          <x:t xml:space="preserve">Ökonomie</x:t>
        </x:is>
      </x:c>
      <x:c r="D213" s="16">
        <x:v>353</x:v>
      </x:c>
      <x:c r="E213" s="16">
        <x:v>71</x:v>
      </x:c>
      <x:c r="F213" s="16">
        <x:v>298</x:v>
      </x:c>
      <x:c r="G213" s="16">
        <x:v>56</x:v>
      </x:c>
      <x:c r="H213" s="32">
        <x:f>(G213/F213-E213/D213)*100</x:f>
        <x:v>-1.321368138867235</x:v>
      </x:c>
      <x:c r="I213" s="1"/>
      <x:c r="J213" s="1"/>
      <x:c r="K213" s="1"/>
    </x:row>
    <x:row r="214" ht="22" customHeight="1">
      <x:c r="A214" s="13" t="inlineStr">
        <x:is>
          <x:t xml:space="preserve">2018/2019</x:t>
        </x:is>
      </x:c>
      <x:c r="B214" s="13" t="inlineStr">
        <x:is>
          <x:t xml:space="preserve">AfD</x:t>
        </x:is>
      </x:c>
      <x:c r="C214" s="13" t="inlineStr">
        <x:is>
          <x:t xml:space="preserve">Ökonomie</x:t>
        </x:is>
      </x:c>
      <x:c r="D214" s="14">
        <x:v>371</x:v>
      </x:c>
      <x:c r="E214" s="14">
        <x:v>77</x:v>
      </x:c>
      <x:c r="F214" s="14">
        <x:v>345</x:v>
      </x:c>
      <x:c r="G214" s="14">
        <x:v>60</x:v>
      </x:c>
      <x:c r="H214" s="31">
        <x:f>(G214/F214-E214/D214)*100</x:f>
        <x:v>-3.36341263330599</x:v>
      </x:c>
      <x:c r="I214" s="1"/>
      <x:c r="J214" s="1"/>
      <x:c r="K214" s="1"/>
    </x:row>
    <x:row r="215" ht="22" customHeight="1">
      <x:c r="A215" s="15" t="inlineStr">
        <x:is>
          <x:t xml:space="preserve">2018/2019</x:t>
        </x:is>
      </x:c>
      <x:c r="B215" s="15" t="inlineStr">
        <x:is>
          <x:t xml:space="preserve">Die Linke</x:t>
        </x:is>
      </x:c>
      <x:c r="C215" s="15" t="inlineStr">
        <x:is>
          <x:t xml:space="preserve">Ökonomie</x:t>
        </x:is>
      </x:c>
      <x:c r="D215" s="16">
        <x:v>354</x:v>
      </x:c>
      <x:c r="E215" s="16">
        <x:v>82</x:v>
      </x:c>
      <x:c r="F215" s="16">
        <x:v>319</x:v>
      </x:c>
      <x:c r="G215" s="16">
        <x:v>79</x:v>
      </x:c>
      <x:c r="H215" s="32">
        <x:f>(G215/F215-E215/D215)*100</x:f>
        <x:v>1.6010484742220554</x:v>
      </x:c>
      <x:c r="I215" s="1"/>
      <x:c r="J215" s="1"/>
      <x:c r="K215" s="1"/>
    </x:row>
    <x:row r="216" ht="22" customHeight="1">
      <x:c r="A216" s="13" t="inlineStr">
        <x:is>
          <x:t xml:space="preserve">2018/2019</x:t>
        </x:is>
      </x:c>
      <x:c r="B216" s="13" t="inlineStr">
        <x:is>
          <x:t xml:space="preserve">CDU/CSU</x:t>
        </x:is>
      </x:c>
      <x:c r="C216" s="13" t="inlineStr">
        <x:is>
          <x:t xml:space="preserve">S&amp;R</x:t>
        </x:is>
      </x:c>
      <x:c r="D216" s="14">
        <x:v>1092</x:v>
      </x:c>
      <x:c r="E216" s="14">
        <x:v>11</x:v>
      </x:c>
      <x:c r="F216" s="14">
        <x:v>946</x:v>
      </x:c>
      <x:c r="G216" s="14">
        <x:v>20</x:v>
      </x:c>
      <x:c r="H216" s="31">
        <x:f>(G216/F216-E216/D216)*100</x:f>
        <x:v>1.106838897536572</x:v>
      </x:c>
      <x:c r="I216" s="1"/>
      <x:c r="J216" s="1"/>
      <x:c r="K216" s="1"/>
    </x:row>
    <x:row r="217" ht="22" customHeight="1">
      <x:c r="A217" s="15" t="inlineStr">
        <x:is>
          <x:t xml:space="preserve">2018/2019</x:t>
        </x:is>
      </x:c>
      <x:c r="B217" s="15" t="inlineStr">
        <x:is>
          <x:t xml:space="preserve">SPD</x:t>
        </x:is>
      </x:c>
      <x:c r="C217" s="15" t="inlineStr">
        <x:is>
          <x:t xml:space="preserve">S&amp;R</x:t>
        </x:is>
      </x:c>
      <x:c r="D217" s="16">
        <x:v>744</x:v>
      </x:c>
      <x:c r="E217" s="16">
        <x:v>7</x:v>
      </x:c>
      <x:c r="F217" s="16">
        <x:v>554</x:v>
      </x:c>
      <x:c r="G217" s="16">
        <x:v>9</x:v>
      </x:c>
      <x:c r="H217" s="32">
        <x:f>(G217/F217-E217/D217)*100</x:f>
        <x:v>0.6836885214083303</x:v>
      </x:c>
      <x:c r="I217" s="1"/>
      <x:c r="J217" s="1"/>
      <x:c r="K217" s="1"/>
    </x:row>
    <x:row r="218" ht="22" customHeight="1">
      <x:c r="A218" s="13" t="inlineStr">
        <x:is>
          <x:t xml:space="preserve">2018/2019</x:t>
        </x:is>
      </x:c>
      <x:c r="B218" s="13" t="inlineStr">
        <x:is>
          <x:t xml:space="preserve">Grüne</x:t>
        </x:is>
      </x:c>
      <x:c r="C218" s="13" t="inlineStr">
        <x:is>
          <x:t xml:space="preserve">S&amp;R</x:t>
        </x:is>
      </x:c>
      <x:c r="D218" s="14">
        <x:v>320</x:v>
      </x:c>
      <x:c r="E218" s="14">
        <x:v>3</x:v>
      </x:c>
      <x:c r="F218" s="14">
        <x:v>329</x:v>
      </x:c>
      <x:c r="G218" s="14">
        <x:v>7</x:v>
      </x:c>
      <x:c r="H218" s="31">
        <x:f>(G218/F218-E218/D218)*100</x:f>
        <x:v>1.190159574468085</x:v>
      </x:c>
      <x:c r="I218" s="1"/>
      <x:c r="J218" s="1"/>
      <x:c r="K218" s="1"/>
    </x:row>
    <x:row r="219" ht="22" customHeight="1">
      <x:c r="A219" s="15" t="inlineStr">
        <x:is>
          <x:t xml:space="preserve">2018/2019</x:t>
        </x:is>
      </x:c>
      <x:c r="B219" s="15" t="inlineStr">
        <x:is>
          <x:t xml:space="preserve">FDP</x:t>
        </x:is>
      </x:c>
      <x:c r="C219" s="15" t="inlineStr">
        <x:is>
          <x:t xml:space="preserve">S&amp;R</x:t>
        </x:is>
      </x:c>
      <x:c r="D219" s="16">
        <x:v>353</x:v>
      </x:c>
      <x:c r="E219" s="16">
        <x:v>11</x:v>
      </x:c>
      <x:c r="F219" s="16">
        <x:v>298</x:v>
      </x:c>
      <x:c r="G219" s="16">
        <x:v>5</x:v>
      </x:c>
      <x:c r="H219" s="32">
        <x:f>(G219/F219-E219/D219)*100</x:f>
        <x:v>-1.438294959788581</x:v>
      </x:c>
      <x:c r="I219" s="1"/>
      <x:c r="J219" s="1"/>
      <x:c r="K219" s="1"/>
    </x:row>
    <x:row r="220" ht="22" customHeight="1">
      <x:c r="A220" s="13" t="inlineStr">
        <x:is>
          <x:t xml:space="preserve">2018/2019</x:t>
        </x:is>
      </x:c>
      <x:c r="B220" s="13" t="inlineStr">
        <x:is>
          <x:t xml:space="preserve">AfD</x:t>
        </x:is>
      </x:c>
      <x:c r="C220" s="13" t="inlineStr">
        <x:is>
          <x:t xml:space="preserve">S&amp;R</x:t>
        </x:is>
      </x:c>
      <x:c r="D220" s="14">
        <x:v>371</x:v>
      </x:c>
      <x:c r="E220" s="14">
        <x:v>5</x:v>
      </x:c>
      <x:c r="F220" s="14">
        <x:v>345</x:v>
      </x:c>
      <x:c r="G220" s="14">
        <x:v>6</x:v>
      </x:c>
      <x:c r="H220" s="31">
        <x:f>(G220/F220-E220/D220)*100</x:f>
        <x:v>0.39142153990390244</x:v>
      </x:c>
      <x:c r="I220" s="1"/>
      <x:c r="J220" s="1"/>
      <x:c r="K220" s="1"/>
    </x:row>
    <x:row r="221" ht="22" customHeight="1">
      <x:c r="A221" s="15" t="inlineStr">
        <x:is>
          <x:t xml:space="preserve">2018/2019</x:t>
        </x:is>
      </x:c>
      <x:c r="B221" s="15" t="inlineStr">
        <x:is>
          <x:t xml:space="preserve">Die Linke</x:t>
        </x:is>
      </x:c>
      <x:c r="C221" s="15" t="inlineStr">
        <x:is>
          <x:t xml:space="preserve">S&amp;R</x:t>
        </x:is>
      </x:c>
      <x:c r="D221" s="16">
        <x:v>354</x:v>
      </x:c>
      <x:c r="E221" s="16">
        <x:v>4</x:v>
      </x:c>
      <x:c r="F221" s="16">
        <x:v>319</x:v>
      </x:c>
      <x:c r="G221" s="16">
        <x:v>5</x:v>
      </x:c>
      <x:c r="H221" s="32">
        <x:f>(G221/F221-E221/D221)*100</x:f>
        <x:v>0.4374546162973981</x:v>
      </x:c>
      <x:c r="I221" s="1"/>
      <x:c r="J221" s="1"/>
      <x:c r="K221" s="1"/>
    </x:row>
    <x:row r="222" ht="22" customHeight="1">
      <x:c r="A222" s="13" t="inlineStr">
        <x:is>
          <x:t xml:space="preserve">2019/2020</x:t>
        </x:is>
      </x:c>
      <x:c r="B222" s="13" t="inlineStr">
        <x:is>
          <x:t xml:space="preserve">CDU/CSU</x:t>
        </x:is>
      </x:c>
      <x:c r="C222" s="13" t="inlineStr">
        <x:is>
          <x:t xml:space="preserve">Ökologie</x:t>
        </x:is>
      </x:c>
      <x:c r="D222" s="14">
        <x:v>946</x:v>
      </x:c>
      <x:c r="E222" s="14">
        <x:v>272</x:v>
      </x:c>
      <x:c r="F222" s="14">
        <x:v>1242</x:v>
      </x:c>
      <x:c r="G222" s="14">
        <x:v>277</x:v>
      </x:c>
      <x:c r="H222" s="31">
        <x:f>(G222/F222-E222/D222)*100</x:f>
        <x:v>-6.449905186002253</x:v>
      </x:c>
      <x:c r="I222" s="1"/>
      <x:c r="J222" s="1"/>
      <x:c r="K222" s="1"/>
    </x:row>
    <x:row r="223" ht="22" customHeight="1">
      <x:c r="A223" s="15" t="inlineStr">
        <x:is>
          <x:t xml:space="preserve">2019/2020</x:t>
        </x:is>
      </x:c>
      <x:c r="B223" s="15" t="inlineStr">
        <x:is>
          <x:t xml:space="preserve">SPD</x:t>
        </x:is>
      </x:c>
      <x:c r="C223" s="15" t="inlineStr">
        <x:is>
          <x:t xml:space="preserve">Ökologie</x:t>
        </x:is>
      </x:c>
      <x:c r="D223" s="16">
        <x:v>554</x:v>
      </x:c>
      <x:c r="E223" s="16">
        <x:v>190</x:v>
      </x:c>
      <x:c r="F223" s="16">
        <x:v>538</x:v>
      </x:c>
      <x:c r="G223" s="16">
        <x:v>102</x:v>
      </x:c>
      <x:c r="H223" s="32">
        <x:f>(G223/F223-E223/D223)*100</x:f>
        <x:v>-15.336921074174976</x:v>
      </x:c>
      <x:c r="I223" s="1"/>
      <x:c r="J223" s="1"/>
      <x:c r="K223" s="1"/>
    </x:row>
    <x:row r="224" ht="22" customHeight="1">
      <x:c r="A224" s="13" t="inlineStr">
        <x:is>
          <x:t xml:space="preserve">2019/2020</x:t>
        </x:is>
      </x:c>
      <x:c r="B224" s="13" t="inlineStr">
        <x:is>
          <x:t xml:space="preserve">Grüne</x:t>
        </x:is>
      </x:c>
      <x:c r="C224" s="13" t="inlineStr">
        <x:is>
          <x:t xml:space="preserve">Ökologie</x:t>
        </x:is>
      </x:c>
      <x:c r="D224" s="14">
        <x:v>329</x:v>
      </x:c>
      <x:c r="E224" s="14">
        <x:v>118</x:v>
      </x:c>
      <x:c r="F224" s="14">
        <x:v>330</x:v>
      </x:c>
      <x:c r="G224" s="14">
        <x:v>111</x:v>
      </x:c>
      <x:c r="H224" s="31">
        <x:f>(G224/F224-E224/D224)*100</x:f>
        <x:v>-2.229897761812655</x:v>
      </x:c>
      <x:c r="I224" s="1"/>
      <x:c r="J224" s="1"/>
      <x:c r="K224" s="1"/>
    </x:row>
    <x:row r="225" ht="22" customHeight="1">
      <x:c r="A225" s="15" t="inlineStr">
        <x:is>
          <x:t xml:space="preserve">2019/2020</x:t>
        </x:is>
      </x:c>
      <x:c r="B225" s="15" t="inlineStr">
        <x:is>
          <x:t xml:space="preserve">FDP</x:t>
        </x:is>
      </x:c>
      <x:c r="C225" s="15" t="inlineStr">
        <x:is>
          <x:t xml:space="preserve">Ökologie</x:t>
        </x:is>
      </x:c>
      <x:c r="D225" s="16">
        <x:v>298</x:v>
      </x:c>
      <x:c r="E225" s="16">
        <x:v>89</x:v>
      </x:c>
      <x:c r="F225" s="16">
        <x:v>305</x:v>
      </x:c>
      <x:c r="G225" s="16">
        <x:v>78</x:v>
      </x:c>
      <x:c r="H225" s="32">
        <x:f>(G225/F225-E225/D225)*100</x:f>
        <x:v>-4.2920013202772616</x:v>
      </x:c>
      <x:c r="I225" s="1"/>
      <x:c r="J225" s="1"/>
      <x:c r="K225" s="1"/>
    </x:row>
    <x:row r="226" ht="22" customHeight="1">
      <x:c r="A226" s="13" t="inlineStr">
        <x:is>
          <x:t xml:space="preserve">2019/2020</x:t>
        </x:is>
      </x:c>
      <x:c r="B226" s="13" t="inlineStr">
        <x:is>
          <x:t xml:space="preserve">AfD</x:t>
        </x:is>
      </x:c>
      <x:c r="C226" s="13" t="inlineStr">
        <x:is>
          <x:t xml:space="preserve">Ökologie</x:t>
        </x:is>
      </x:c>
      <x:c r="D226" s="14">
        <x:v>345</x:v>
      </x:c>
      <x:c r="E226" s="14">
        <x:v>83</x:v>
      </x:c>
      <x:c r="F226" s="14">
        <x:v>402</x:v>
      </x:c>
      <x:c r="G226" s="14">
        <x:v>86</x:v>
      </x:c>
      <x:c r="H226" s="31">
        <x:f>(G226/F226-E226/D226)*100</x:f>
        <x:v>-2.664936188622108</x:v>
      </x:c>
      <x:c r="I226" s="1"/>
      <x:c r="J226" s="1"/>
      <x:c r="K226" s="1"/>
    </x:row>
    <x:row r="227" ht="22" customHeight="1">
      <x:c r="A227" s="15" t="inlineStr">
        <x:is>
          <x:t xml:space="preserve">2019/2020</x:t>
        </x:is>
      </x:c>
      <x:c r="B227" s="15" t="inlineStr">
        <x:is>
          <x:t xml:space="preserve">Die Linke</x:t>
        </x:is>
      </x:c>
      <x:c r="C227" s="15" t="inlineStr">
        <x:is>
          <x:t xml:space="preserve">Ökologie</x:t>
        </x:is>
      </x:c>
      <x:c r="D227" s="16">
        <x:v>319</x:v>
      </x:c>
      <x:c r="E227" s="16">
        <x:v>94</x:v>
      </x:c>
      <x:c r="F227" s="16">
        <x:v>316</x:v>
      </x:c>
      <x:c r="G227" s="16">
        <x:v>80</x:v>
      </x:c>
      <x:c r="H227" s="32">
        <x:f>(G227/F227-E227/D227)*100</x:f>
        <x:v>-4.150628943295898</x:v>
      </x:c>
      <x:c r="I227" s="1"/>
      <x:c r="J227" s="1"/>
      <x:c r="K227" s="1"/>
    </x:row>
    <x:row r="228" ht="22" customHeight="1">
      <x:c r="A228" s="13" t="inlineStr">
        <x:is>
          <x:t xml:space="preserve">2019/2020</x:t>
        </x:is>
      </x:c>
      <x:c r="B228" s="13" t="inlineStr">
        <x:is>
          <x:t xml:space="preserve">CDU/CSU</x:t>
        </x:is>
      </x:c>
      <x:c r="C228" s="13" t="inlineStr">
        <x:is>
          <x:t xml:space="preserve">Ökonomie</x:t>
        </x:is>
      </x:c>
      <x:c r="D228" s="14">
        <x:v>946</x:v>
      </x:c>
      <x:c r="E228" s="14">
        <x:v>127</x:v>
      </x:c>
      <x:c r="F228" s="14">
        <x:v>1242</x:v>
      </x:c>
      <x:c r="G228" s="14">
        <x:v>164</x:v>
      </x:c>
      <x:c r="H228" s="31">
        <x:f>(G228/F228-E228/D228)*100</x:f>
        <x:v>-0.22043828919460773</x:v>
      </x:c>
      <x:c r="I228" s="1"/>
      <x:c r="J228" s="1"/>
      <x:c r="K228" s="1"/>
    </x:row>
    <x:row r="229" ht="22" customHeight="1">
      <x:c r="A229" s="15" t="inlineStr">
        <x:is>
          <x:t xml:space="preserve">2019/2020</x:t>
        </x:is>
      </x:c>
      <x:c r="B229" s="15" t="inlineStr">
        <x:is>
          <x:t xml:space="preserve">SPD</x:t>
        </x:is>
      </x:c>
      <x:c r="C229" s="15" t="inlineStr">
        <x:is>
          <x:t xml:space="preserve">Ökonomie</x:t>
        </x:is>
      </x:c>
      <x:c r="D229" s="16">
        <x:v>554</x:v>
      </x:c>
      <x:c r="E229" s="16">
        <x:v>63</x:v>
      </x:c>
      <x:c r="F229" s="16">
        <x:v>538</x:v>
      </x:c>
      <x:c r="G229" s="16">
        <x:v>70</x:v>
      </x:c>
      <x:c r="H229" s="32">
        <x:f>(G229/F229-E229/D229)*100</x:f>
        <x:v>1.63931126112222</x:v>
      </x:c>
      <x:c r="I229" s="1"/>
      <x:c r="J229" s="1"/>
      <x:c r="K229" s="1"/>
    </x:row>
    <x:row r="230" ht="22" customHeight="1">
      <x:c r="A230" s="13" t="inlineStr">
        <x:is>
          <x:t xml:space="preserve">2019/2020</x:t>
        </x:is>
      </x:c>
      <x:c r="B230" s="13" t="inlineStr">
        <x:is>
          <x:t xml:space="preserve">Grüne</x:t>
        </x:is>
      </x:c>
      <x:c r="C230" s="13" t="inlineStr">
        <x:is>
          <x:t xml:space="preserve">Ökonomie</x:t>
        </x:is>
      </x:c>
      <x:c r="D230" s="14">
        <x:v>329</x:v>
      </x:c>
      <x:c r="E230" s="14">
        <x:v>49</x:v>
      </x:c>
      <x:c r="F230" s="14">
        <x:v>330</x:v>
      </x:c>
      <x:c r="G230" s="14">
        <x:v>59</x:v>
      </x:c>
      <x:c r="H230" s="31">
        <x:f>(G230/F230-E230/D230)*100</x:f>
        <x:v>2.985170857511285</x:v>
      </x:c>
      <x:c r="I230" s="1"/>
      <x:c r="J230" s="1"/>
      <x:c r="K230" s="1"/>
    </x:row>
    <x:row r="231" ht="22" customHeight="1">
      <x:c r="A231" s="15" t="inlineStr">
        <x:is>
          <x:t xml:space="preserve">2019/2020</x:t>
        </x:is>
      </x:c>
      <x:c r="B231" s="15" t="inlineStr">
        <x:is>
          <x:t xml:space="preserve">FDP</x:t>
        </x:is>
      </x:c>
      <x:c r="C231" s="15" t="inlineStr">
        <x:is>
          <x:t xml:space="preserve">Ökonomie</x:t>
        </x:is>
      </x:c>
      <x:c r="D231" s="16">
        <x:v>298</x:v>
      </x:c>
      <x:c r="E231" s="16">
        <x:v>56</x:v>
      </x:c>
      <x:c r="F231" s="16">
        <x:v>305</x:v>
      </x:c>
      <x:c r="G231" s="16">
        <x:v>58</x:v>
      </x:c>
      <x:c r="H231" s="32">
        <x:f>(G231/F231-E231/D231)*100</x:f>
        <x:v>0.22444713389811743</x:v>
      </x:c>
      <x:c r="I231" s="1"/>
      <x:c r="J231" s="1"/>
      <x:c r="K231" s="1"/>
    </x:row>
    <x:row r="232" ht="22" customHeight="1">
      <x:c r="A232" s="13" t="inlineStr">
        <x:is>
          <x:t xml:space="preserve">2019/2020</x:t>
        </x:is>
      </x:c>
      <x:c r="B232" s="13" t="inlineStr">
        <x:is>
          <x:t xml:space="preserve">AfD</x:t>
        </x:is>
      </x:c>
      <x:c r="C232" s="13" t="inlineStr">
        <x:is>
          <x:t xml:space="preserve">Ökonomie</x:t>
        </x:is>
      </x:c>
      <x:c r="D232" s="14">
        <x:v>345</x:v>
      </x:c>
      <x:c r="E232" s="14">
        <x:v>60</x:v>
      </x:c>
      <x:c r="F232" s="14">
        <x:v>402</x:v>
      </x:c>
      <x:c r="G232" s="14">
        <x:v>95</x:v>
      </x:c>
      <x:c r="H232" s="31">
        <x:f>(G232/F232-E232/D232)*100</x:f>
        <x:v>6.240536448193815</x:v>
      </x:c>
      <x:c r="I232" s="1"/>
      <x:c r="J232" s="1"/>
      <x:c r="K232" s="1"/>
    </x:row>
    <x:row r="233" ht="22" customHeight="1">
      <x:c r="A233" s="15" t="inlineStr">
        <x:is>
          <x:t xml:space="preserve">2019/2020</x:t>
        </x:is>
      </x:c>
      <x:c r="B233" s="15" t="inlineStr">
        <x:is>
          <x:t xml:space="preserve">Die Linke</x:t>
        </x:is>
      </x:c>
      <x:c r="C233" s="15" t="inlineStr">
        <x:is>
          <x:t xml:space="preserve">Ökonomie</x:t>
        </x:is>
      </x:c>
      <x:c r="D233" s="16">
        <x:v>319</x:v>
      </x:c>
      <x:c r="E233" s="16">
        <x:v>79</x:v>
      </x:c>
      <x:c r="F233" s="16">
        <x:v>316</x:v>
      </x:c>
      <x:c r="G233" s="16">
        <x:v>78</x:v>
      </x:c>
      <x:c r="H233" s="32">
        <x:f>(G233/F233-E233/D233)*100</x:f>
        <x:v>-0.08134597833419077</x:v>
      </x:c>
      <x:c r="I233" s="1"/>
      <x:c r="J233" s="1"/>
      <x:c r="K233" s="1"/>
    </x:row>
    <x:row r="234" ht="22" customHeight="1">
      <x:c r="A234" s="13" t="inlineStr">
        <x:is>
          <x:t xml:space="preserve">2019/2020</x:t>
        </x:is>
      </x:c>
      <x:c r="B234" s="13" t="inlineStr">
        <x:is>
          <x:t xml:space="preserve">CDU/CSU</x:t>
        </x:is>
      </x:c>
      <x:c r="C234" s="13" t="inlineStr">
        <x:is>
          <x:t xml:space="preserve">S&amp;R</x:t>
        </x:is>
      </x:c>
      <x:c r="D234" s="14">
        <x:v>946</x:v>
      </x:c>
      <x:c r="E234" s="14">
        <x:v>20</x:v>
      </x:c>
      <x:c r="F234" s="14">
        <x:v>1242</x:v>
      </x:c>
      <x:c r="G234" s="14">
        <x:v>23</x:v>
      </x:c>
      <x:c r="H234" s="31">
        <x:f>(G234/F234-E234/D234)*100</x:f>
        <x:v>-0.26231305301072755</x:v>
      </x:c>
      <x:c r="I234" s="1"/>
      <x:c r="J234" s="1"/>
      <x:c r="K234" s="1"/>
    </x:row>
    <x:row r="235" ht="22" customHeight="1">
      <x:c r="A235" s="15" t="inlineStr">
        <x:is>
          <x:t xml:space="preserve">2019/2020</x:t>
        </x:is>
      </x:c>
      <x:c r="B235" s="15" t="inlineStr">
        <x:is>
          <x:t xml:space="preserve">SPD</x:t>
        </x:is>
      </x:c>
      <x:c r="C235" s="15" t="inlineStr">
        <x:is>
          <x:t xml:space="preserve">S&amp;R</x:t>
        </x:is>
      </x:c>
      <x:c r="D235" s="16">
        <x:v>554</x:v>
      </x:c>
      <x:c r="E235" s="16">
        <x:v>9</x:v>
      </x:c>
      <x:c r="F235" s="16">
        <x:v>538</x:v>
      </x:c>
      <x:c r="G235" s="16">
        <x:v>14</x:v>
      </x:c>
      <x:c r="H235" s="32">
        <x:f>(G235/F235-E235/D235)*100</x:f>
        <x:v>0.9776817468092818</x:v>
      </x:c>
      <x:c r="I235" s="1"/>
      <x:c r="J235" s="1"/>
      <x:c r="K235" s="1"/>
    </x:row>
    <x:row r="236" ht="22" customHeight="1">
      <x:c r="A236" s="13" t="inlineStr">
        <x:is>
          <x:t xml:space="preserve">2019/2020</x:t>
        </x:is>
      </x:c>
      <x:c r="B236" s="13" t="inlineStr">
        <x:is>
          <x:t xml:space="preserve">Grüne</x:t>
        </x:is>
      </x:c>
      <x:c r="C236" s="13" t="inlineStr">
        <x:is>
          <x:t xml:space="preserve">S&amp;R</x:t>
        </x:is>
      </x:c>
      <x:c r="D236" s="14">
        <x:v>329</x:v>
      </x:c>
      <x:c r="E236" s="14">
        <x:v>7</x:v>
      </x:c>
      <x:c r="F236" s="14">
        <x:v>330</x:v>
      </x:c>
      <x:c r="G236" s="14">
        <x:v>8</x:v>
      </x:c>
      <x:c r="H236" s="31">
        <x:f>(G236/F236-E236/D236)*100</x:f>
        <x:v>0.2965828497743392</x:v>
      </x:c>
      <x:c r="I236" s="1"/>
      <x:c r="J236" s="1"/>
      <x:c r="K236" s="1"/>
    </x:row>
    <x:row r="237" ht="22" customHeight="1">
      <x:c r="A237" s="15" t="inlineStr">
        <x:is>
          <x:t xml:space="preserve">2019/2020</x:t>
        </x:is>
      </x:c>
      <x:c r="B237" s="15" t="inlineStr">
        <x:is>
          <x:t xml:space="preserve">FDP</x:t>
        </x:is>
      </x:c>
      <x:c r="C237" s="15" t="inlineStr">
        <x:is>
          <x:t xml:space="preserve">S&amp;R</x:t>
        </x:is>
      </x:c>
      <x:c r="D237" s="16">
        <x:v>298</x:v>
      </x:c>
      <x:c r="E237" s="16">
        <x:v>5</x:v>
      </x:c>
      <x:c r="F237" s="16">
        <x:v>305</x:v>
      </x:c>
      <x:c r="G237" s="16">
        <x:v>11</x:v>
      </x:c>
      <x:c r="H237" s="32">
        <x:f>(G237/F237-E237/D237)*100</x:f>
        <x:v>1.928705028055892</x:v>
      </x:c>
      <x:c r="I237" s="1"/>
      <x:c r="J237" s="1"/>
      <x:c r="K237" s="1"/>
    </x:row>
    <x:row r="238" ht="22" customHeight="1">
      <x:c r="A238" s="13" t="inlineStr">
        <x:is>
          <x:t xml:space="preserve">2019/2020</x:t>
        </x:is>
      </x:c>
      <x:c r="B238" s="13" t="inlineStr">
        <x:is>
          <x:t xml:space="preserve">AfD</x:t>
        </x:is>
      </x:c>
      <x:c r="C238" s="13" t="inlineStr">
        <x:is>
          <x:t xml:space="preserve">S&amp;R</x:t>
        </x:is>
      </x:c>
      <x:c r="D238" s="14">
        <x:v>345</x:v>
      </x:c>
      <x:c r="E238" s="14">
        <x:v>6</x:v>
      </x:c>
      <x:c r="F238" s="14">
        <x:v>402</x:v>
      </x:c>
      <x:c r="G238" s="14">
        <x:v>15</x:v>
      </x:c>
      <x:c r="H238" s="31">
        <x:f>(G238/F238-E238/D238)*100</x:f>
        <x:v>1.9922128487994806</x:v>
      </x:c>
      <x:c r="I238" s="1"/>
      <x:c r="J238" s="1"/>
      <x:c r="K238" s="1"/>
    </x:row>
    <x:row r="239" ht="22" customHeight="1">
      <x:c r="A239" s="15" t="inlineStr">
        <x:is>
          <x:t xml:space="preserve">2019/2020</x:t>
        </x:is>
      </x:c>
      <x:c r="B239" s="15" t="inlineStr">
        <x:is>
          <x:t xml:space="preserve">Die Linke</x:t>
        </x:is>
      </x:c>
      <x:c r="C239" s="15" t="inlineStr">
        <x:is>
          <x:t xml:space="preserve">S&amp;R</x:t>
        </x:is>
      </x:c>
      <x:c r="D239" s="16">
        <x:v>319</x:v>
      </x:c>
      <x:c r="E239" s="16">
        <x:v>5</x:v>
      </x:c>
      <x:c r="F239" s="16">
        <x:v>316</x:v>
      </x:c>
      <x:c r="G239" s="16">
        <x:v>8</x:v>
      </x:c>
      <x:c r="H239" s="32">
        <x:f>(G239/F239-E239/D239)*100</x:f>
        <x:v>0.9642474504979962</x:v>
      </x:c>
      <x:c r="I239" s="1"/>
      <x:c r="J239" s="1"/>
      <x:c r="K239" s="1"/>
    </x:row>
    <x:row r="240" ht="22" customHeight="1">
      <x:c r="A240" s="13" t="inlineStr">
        <x:is>
          <x:t xml:space="preserve">2020/2021</x:t>
        </x:is>
      </x:c>
      <x:c r="B240" s="13" t="inlineStr">
        <x:is>
          <x:t xml:space="preserve">CDU/CSU</x:t>
        </x:is>
      </x:c>
      <x:c r="C240" s="13" t="inlineStr">
        <x:is>
          <x:t xml:space="preserve">Ökologie</x:t>
        </x:is>
      </x:c>
      <x:c r="D240" s="14">
        <x:v>1242</x:v>
      </x:c>
      <x:c r="E240" s="14">
        <x:v>277</x:v>
      </x:c>
      <x:c r="F240" s="14">
        <x:v>1012</x:v>
      </x:c>
      <x:c r="G240" s="14">
        <x:v>386</x:v>
      </x:c>
      <x:c r="H240" s="31">
        <x:f>(G240/F240-E240/D240)*100</x:f>
        <x:v>15.839554969989756</x:v>
      </x:c>
      <x:c r="I240" s="1"/>
      <x:c r="J240" s="1"/>
      <x:c r="K240" s="1"/>
    </x:row>
    <x:row r="241" ht="22" customHeight="1">
      <x:c r="A241" s="15" t="inlineStr">
        <x:is>
          <x:t xml:space="preserve">2020/2021</x:t>
        </x:is>
      </x:c>
      <x:c r="B241" s="15" t="inlineStr">
        <x:is>
          <x:t xml:space="preserve">SPD</x:t>
        </x:is>
      </x:c>
      <x:c r="C241" s="15" t="inlineStr">
        <x:is>
          <x:t xml:space="preserve">Ökologie</x:t>
        </x:is>
      </x:c>
      <x:c r="D241" s="16">
        <x:v>538</x:v>
      </x:c>
      <x:c r="E241" s="16">
        <x:v>102</x:v>
      </x:c>
      <x:c r="F241" s="16">
        <x:v>392</x:v>
      </x:c>
      <x:c r="G241" s="16">
        <x:v>139</x:v>
      </x:c>
      <x:c r="H241" s="32">
        <x:f>(G241/F241-E241/D241)*100</x:f>
        <x:v>16.500075866777937</x:v>
      </x:c>
      <x:c r="I241" s="1"/>
      <x:c r="J241" s="1"/>
      <x:c r="K241" s="1"/>
    </x:row>
    <x:row r="242" ht="22" customHeight="1">
      <x:c r="A242" s="13" t="inlineStr">
        <x:is>
          <x:t xml:space="preserve">2020/2021</x:t>
        </x:is>
      </x:c>
      <x:c r="B242" s="13" t="inlineStr">
        <x:is>
          <x:t xml:space="preserve">Grüne</x:t>
        </x:is>
      </x:c>
      <x:c r="C242" s="13" t="inlineStr">
        <x:is>
          <x:t xml:space="preserve">Ökologie</x:t>
        </x:is>
      </x:c>
      <x:c r="D242" s="14">
        <x:v>330</x:v>
      </x:c>
      <x:c r="E242" s="14">
        <x:v>111</x:v>
      </x:c>
      <x:c r="F242" s="14">
        <x:v>258</x:v>
      </x:c>
      <x:c r="G242" s="14">
        <x:v>95</x:v>
      </x:c>
      <x:c r="H242" s="31">
        <x:f>(G242/F242-E242/D242)*100</x:f>
        <x:v>3.1853417899929513</x:v>
      </x:c>
      <x:c r="I242" s="1"/>
      <x:c r="J242" s="1"/>
      <x:c r="K242" s="1"/>
    </x:row>
    <x:row r="243" ht="22" customHeight="1">
      <x:c r="A243" s="15" t="inlineStr">
        <x:is>
          <x:t xml:space="preserve">2020/2021</x:t>
        </x:is>
      </x:c>
      <x:c r="B243" s="15" t="inlineStr">
        <x:is>
          <x:t xml:space="preserve">FDP</x:t>
        </x:is>
      </x:c>
      <x:c r="C243" s="15" t="inlineStr">
        <x:is>
          <x:t xml:space="preserve">Ökologie</x:t>
        </x:is>
      </x:c>
      <x:c r="D243" s="16">
        <x:v>305</x:v>
      </x:c>
      <x:c r="E243" s="16">
        <x:v>78</x:v>
      </x:c>
      <x:c r="F243" s="16">
        <x:v>183</x:v>
      </x:c>
      <x:c r="G243" s="16">
        <x:v>53</x:v>
      </x:c>
      <x:c r="H243" s="32">
        <x:f>(G243/F243-E243/D243)*100</x:f>
        <x:v>3.387978142076503</x:v>
      </x:c>
      <x:c r="I243" s="1"/>
      <x:c r="J243" s="1"/>
      <x:c r="K243" s="1"/>
    </x:row>
    <x:row r="244" ht="22" customHeight="1">
      <x:c r="A244" s="13" t="inlineStr">
        <x:is>
          <x:t xml:space="preserve">2020/2021</x:t>
        </x:is>
      </x:c>
      <x:c r="B244" s="13" t="inlineStr">
        <x:is>
          <x:t xml:space="preserve">AfD</x:t>
        </x:is>
      </x:c>
      <x:c r="C244" s="13" t="inlineStr">
        <x:is>
          <x:t xml:space="preserve">Ökologie</x:t>
        </x:is>
      </x:c>
      <x:c r="D244" s="14">
        <x:v>402</x:v>
      </x:c>
      <x:c r="E244" s="14">
        <x:v>86</x:v>
      </x:c>
      <x:c r="F244" s="14">
        <x:v>274</x:v>
      </x:c>
      <x:c r="G244" s="14">
        <x:v>56</x:v>
      </x:c>
      <x:c r="H244" s="31">
        <x:f>(G244/F244-E244/D244)*100</x:f>
        <x:v>-0.9550786214910845</x:v>
      </x:c>
      <x:c r="I244" s="1"/>
      <x:c r="J244" s="1"/>
      <x:c r="K244" s="1"/>
    </x:row>
    <x:row r="245" ht="22" customHeight="1">
      <x:c r="A245" s="15" t="inlineStr">
        <x:is>
          <x:t xml:space="preserve">2020/2021</x:t>
        </x:is>
      </x:c>
      <x:c r="B245" s="15" t="inlineStr">
        <x:is>
          <x:t xml:space="preserve">Die Linke</x:t>
        </x:is>
      </x:c>
      <x:c r="C245" s="15" t="inlineStr">
        <x:is>
          <x:t xml:space="preserve">Ökologie</x:t>
        </x:is>
      </x:c>
      <x:c r="D245" s="16">
        <x:v>316</x:v>
      </x:c>
      <x:c r="E245" s="16">
        <x:v>80</x:v>
      </x:c>
      <x:c r="F245" s="16">
        <x:v>198</x:v>
      </x:c>
      <x:c r="G245" s="16">
        <x:v>69</x:v>
      </x:c>
      <x:c r="H245" s="32">
        <x:f>(G245/F245-E245/D245)*100</x:f>
        <x:v>9.532029152282318</x:v>
      </x:c>
      <x:c r="I245" s="1"/>
      <x:c r="J245" s="1"/>
      <x:c r="K245" s="1"/>
    </x:row>
    <x:row r="246" ht="22" customHeight="1">
      <x:c r="A246" s="13" t="inlineStr">
        <x:is>
          <x:t xml:space="preserve">2020/2021</x:t>
        </x:is>
      </x:c>
      <x:c r="B246" s="13" t="inlineStr">
        <x:is>
          <x:t xml:space="preserve">CDU/CSU</x:t>
        </x:is>
      </x:c>
      <x:c r="C246" s="13" t="inlineStr">
        <x:is>
          <x:t xml:space="preserve">Ökonomie</x:t>
        </x:is>
      </x:c>
      <x:c r="D246" s="14">
        <x:v>1242</x:v>
      </x:c>
      <x:c r="E246" s="14">
        <x:v>164</x:v>
      </x:c>
      <x:c r="F246" s="14">
        <x:v>1012</x:v>
      </x:c>
      <x:c r="G246" s="14">
        <x:v>204</x:v>
      </x:c>
      <x:c r="H246" s="31">
        <x:f>(G246/F246-E246/D246)*100</x:f>
        <x:v>6.953593910115649</x:v>
      </x:c>
      <x:c r="I246" s="1"/>
      <x:c r="J246" s="1"/>
      <x:c r="K246" s="1"/>
    </x:row>
    <x:row r="247" ht="22" customHeight="1">
      <x:c r="A247" s="15" t="inlineStr">
        <x:is>
          <x:t xml:space="preserve">2020/2021</x:t>
        </x:is>
      </x:c>
      <x:c r="B247" s="15" t="inlineStr">
        <x:is>
          <x:t xml:space="preserve">SPD</x:t>
        </x:is>
      </x:c>
      <x:c r="C247" s="15" t="inlineStr">
        <x:is>
          <x:t xml:space="preserve">Ökonomie</x:t>
        </x:is>
      </x:c>
      <x:c r="D247" s="16">
        <x:v>538</x:v>
      </x:c>
      <x:c r="E247" s="16">
        <x:v>70</x:v>
      </x:c>
      <x:c r="F247" s="16">
        <x:v>392</x:v>
      </x:c>
      <x:c r="G247" s="16">
        <x:v>75</x:v>
      </x:c>
      <x:c r="H247" s="32">
        <x:f>(G247/F247-E247/D247)*100</x:f>
        <x:v>6.121500644867611</x:v>
      </x:c>
      <x:c r="I247" s="1"/>
      <x:c r="J247" s="1"/>
      <x:c r="K247" s="1"/>
    </x:row>
    <x:row r="248" ht="22" customHeight="1">
      <x:c r="A248" s="13" t="inlineStr">
        <x:is>
          <x:t xml:space="preserve">2020/2021</x:t>
        </x:is>
      </x:c>
      <x:c r="B248" s="13" t="inlineStr">
        <x:is>
          <x:t xml:space="preserve">Grüne</x:t>
        </x:is>
      </x:c>
      <x:c r="C248" s="13" t="inlineStr">
        <x:is>
          <x:t xml:space="preserve">Ökonomie</x:t>
        </x:is>
      </x:c>
      <x:c r="D248" s="14">
        <x:v>330</x:v>
      </x:c>
      <x:c r="E248" s="14">
        <x:v>59</x:v>
      </x:c>
      <x:c r="F248" s="14">
        <x:v>258</x:v>
      </x:c>
      <x:c r="G248" s="14">
        <x:v>54</x:v>
      </x:c>
      <x:c r="H248" s="31">
        <x:f>(G248/F248-E248/D248)*100</x:f>
        <x:v>3.051444679351656</x:v>
      </x:c>
      <x:c r="I248" s="1"/>
      <x:c r="J248" s="1"/>
      <x:c r="K248" s="1"/>
    </x:row>
    <x:row r="249" ht="22" customHeight="1">
      <x:c r="A249" s="15" t="inlineStr">
        <x:is>
          <x:t xml:space="preserve">2020/2021</x:t>
        </x:is>
      </x:c>
      <x:c r="B249" s="15" t="inlineStr">
        <x:is>
          <x:t xml:space="preserve">FDP</x:t>
        </x:is>
      </x:c>
      <x:c r="C249" s="15" t="inlineStr">
        <x:is>
          <x:t xml:space="preserve">Ökonomie</x:t>
        </x:is>
      </x:c>
      <x:c r="D249" s="16">
        <x:v>305</x:v>
      </x:c>
      <x:c r="E249" s="16">
        <x:v>58</x:v>
      </x:c>
      <x:c r="F249" s="16">
        <x:v>183</x:v>
      </x:c>
      <x:c r="G249" s="16">
        <x:v>47</x:v>
      </x:c>
      <x:c r="H249" s="32">
        <x:f>(G249/F249-E249/D249)*100</x:f>
        <x:v>6.666666666666668</x:v>
      </x:c>
      <x:c r="I249" s="1"/>
      <x:c r="J249" s="1"/>
      <x:c r="K249" s="1"/>
    </x:row>
    <x:row r="250" ht="22" customHeight="1">
      <x:c r="A250" s="13" t="inlineStr">
        <x:is>
          <x:t xml:space="preserve">2020/2021</x:t>
        </x:is>
      </x:c>
      <x:c r="B250" s="13" t="inlineStr">
        <x:is>
          <x:t xml:space="preserve">AfD</x:t>
        </x:is>
      </x:c>
      <x:c r="C250" s="13" t="inlineStr">
        <x:is>
          <x:t xml:space="preserve">Ökonomie</x:t>
        </x:is>
      </x:c>
      <x:c r="D250" s="14">
        <x:v>402</x:v>
      </x:c>
      <x:c r="E250" s="14">
        <x:v>95</x:v>
      </x:c>
      <x:c r="F250" s="14">
        <x:v>274</x:v>
      </x:c>
      <x:c r="G250" s="14">
        <x:v>79</x:v>
      </x:c>
      <x:c r="H250" s="31">
        <x:f>(G250/F250-E250/D250)*100</x:f>
        <x:v>5.200275992301265</x:v>
      </x:c>
      <x:c r="I250" s="1"/>
      <x:c r="J250" s="1"/>
      <x:c r="K250" s="1"/>
    </x:row>
    <x:row r="251" ht="22" customHeight="1">
      <x:c r="A251" s="15" t="inlineStr">
        <x:is>
          <x:t xml:space="preserve">2020/2021</x:t>
        </x:is>
      </x:c>
      <x:c r="B251" s="15" t="inlineStr">
        <x:is>
          <x:t xml:space="preserve">Die Linke</x:t>
        </x:is>
      </x:c>
      <x:c r="C251" s="15" t="inlineStr">
        <x:is>
          <x:t xml:space="preserve">Ökonomie</x:t>
        </x:is>
      </x:c>
      <x:c r="D251" s="16">
        <x:v>316</x:v>
      </x:c>
      <x:c r="E251" s="16">
        <x:v>78</x:v>
      </x:c>
      <x:c r="F251" s="16">
        <x:v>198</x:v>
      </x:c>
      <x:c r="G251" s="16">
        <x:v>61</x:v>
      </x:c>
      <x:c r="H251" s="32">
        <x:f>(G251/F251-E251/D251)*100</x:f>
        <x:v>6.124536504283337</x:v>
      </x:c>
      <x:c r="I251" s="1"/>
      <x:c r="J251" s="1"/>
      <x:c r="K251" s="1"/>
    </x:row>
    <x:row r="252" ht="22" customHeight="1">
      <x:c r="A252" s="13" t="inlineStr">
        <x:is>
          <x:t xml:space="preserve">2020/2021</x:t>
        </x:is>
      </x:c>
      <x:c r="B252" s="13" t="inlineStr">
        <x:is>
          <x:t xml:space="preserve">CDU/CSU</x:t>
        </x:is>
      </x:c>
      <x:c r="C252" s="13" t="inlineStr">
        <x:is>
          <x:t xml:space="preserve">S&amp;R</x:t>
        </x:is>
      </x:c>
      <x:c r="D252" s="14">
        <x:v>1242</x:v>
      </x:c>
      <x:c r="E252" s="14">
        <x:v>23</x:v>
      </x:c>
      <x:c r="F252" s="14">
        <x:v>1012</x:v>
      </x:c>
      <x:c r="G252" s="14">
        <x:v>34</x:v>
      </x:c>
      <x:c r="H252" s="31">
        <x:f>(G252/F252-E252/D252)*100</x:f>
        <x:v>1.5078319426145514</x:v>
      </x:c>
      <x:c r="I252" s="1"/>
      <x:c r="J252" s="1"/>
      <x:c r="K252" s="1"/>
    </x:row>
    <x:row r="253" ht="22" customHeight="1">
      <x:c r="A253" s="15" t="inlineStr">
        <x:is>
          <x:t xml:space="preserve">2020/2021</x:t>
        </x:is>
      </x:c>
      <x:c r="B253" s="15" t="inlineStr">
        <x:is>
          <x:t xml:space="preserve">SPD</x:t>
        </x:is>
      </x:c>
      <x:c r="C253" s="15" t="inlineStr">
        <x:is>
          <x:t xml:space="preserve">S&amp;R</x:t>
        </x:is>
      </x:c>
      <x:c r="D253" s="16">
        <x:v>538</x:v>
      </x:c>
      <x:c r="E253" s="16">
        <x:v>14</x:v>
      </x:c>
      <x:c r="F253" s="16">
        <x:v>392</x:v>
      </x:c>
      <x:c r="G253" s="16">
        <x:v>3</x:v>
      </x:c>
      <x:c r="H253" s="32">
        <x:f>(G253/F253-E253/D253)*100</x:f>
        <x:v>-1.8369243608223957</x:v>
      </x:c>
      <x:c r="I253" s="1"/>
      <x:c r="J253" s="1"/>
      <x:c r="K253" s="1"/>
    </x:row>
    <x:row r="254" ht="22" customHeight="1">
      <x:c r="A254" s="13" t="inlineStr">
        <x:is>
          <x:t xml:space="preserve">2020/2021</x:t>
        </x:is>
      </x:c>
      <x:c r="B254" s="13" t="inlineStr">
        <x:is>
          <x:t xml:space="preserve">Grüne</x:t>
        </x:is>
      </x:c>
      <x:c r="C254" s="13" t="inlineStr">
        <x:is>
          <x:t xml:space="preserve">S&amp;R</x:t>
        </x:is>
      </x:c>
      <x:c r="D254" s="14">
        <x:v>330</x:v>
      </x:c>
      <x:c r="E254" s="14">
        <x:v>8</x:v>
      </x:c>
      <x:c r="F254" s="14">
        <x:v>258</x:v>
      </x:c>
      <x:c r="G254" s="14">
        <x:v>2</x:v>
      </x:c>
      <x:c r="H254" s="31">
        <x:f>(G254/F254-E254/D254)*100</x:f>
        <x:v>-1.6490486257928119</x:v>
      </x:c>
      <x:c r="I254" s="1"/>
      <x:c r="J254" s="1"/>
      <x:c r="K254" s="1"/>
    </x:row>
    <x:row r="255" ht="22" customHeight="1">
      <x:c r="A255" s="15" t="inlineStr">
        <x:is>
          <x:t xml:space="preserve">2020/2021</x:t>
        </x:is>
      </x:c>
      <x:c r="B255" s="15" t="inlineStr">
        <x:is>
          <x:t xml:space="preserve">FDP</x:t>
        </x:is>
      </x:c>
      <x:c r="C255" s="15" t="inlineStr">
        <x:is>
          <x:t xml:space="preserve">S&amp;R</x:t>
        </x:is>
      </x:c>
      <x:c r="D255" s="16">
        <x:v>305</x:v>
      </x:c>
      <x:c r="E255" s="16">
        <x:v>11</x:v>
      </x:c>
      <x:c r="F255" s="16">
        <x:v>183</x:v>
      </x:c>
      <x:c r="G255" s="16">
        <x:v>6</x:v>
      </x:c>
      <x:c r="H255" s="32">
        <x:f>(G255/F255-E255/D255)*100</x:f>
        <x:v>-0.3278688524590165</x:v>
      </x:c>
      <x:c r="I255" s="1"/>
      <x:c r="J255" s="1"/>
      <x:c r="K255" s="1"/>
    </x:row>
    <x:row r="256" ht="22" customHeight="1">
      <x:c r="A256" s="13" t="inlineStr">
        <x:is>
          <x:t xml:space="preserve">2020/2021</x:t>
        </x:is>
      </x:c>
      <x:c r="B256" s="13" t="inlineStr">
        <x:is>
          <x:t xml:space="preserve">AfD</x:t>
        </x:is>
      </x:c>
      <x:c r="C256" s="13" t="inlineStr">
        <x:is>
          <x:t xml:space="preserve">S&amp;R</x:t>
        </x:is>
      </x:c>
      <x:c r="D256" s="14">
        <x:v>402</x:v>
      </x:c>
      <x:c r="E256" s="14">
        <x:v>15</x:v>
      </x:c>
      <x:c r="F256" s="14">
        <x:v>274</x:v>
      </x:c>
      <x:c r="G256" s="14">
        <x:v>9</x:v>
      </x:c>
      <x:c r="H256" s="31">
        <x:f>(G256/F256-E256/D256)*100</x:f>
        <x:v>-0.44667175073537374</x:v>
      </x:c>
      <x:c r="I256" s="1"/>
      <x:c r="J256" s="1"/>
      <x:c r="K256" s="1"/>
    </x:row>
    <x:row r="257" ht="22" customHeight="1">
      <x:c r="A257" s="15" t="inlineStr">
        <x:is>
          <x:t xml:space="preserve">2020/2021</x:t>
        </x:is>
      </x:c>
      <x:c r="B257" s="15" t="inlineStr">
        <x:is>
          <x:t xml:space="preserve">Die Linke</x:t>
        </x:is>
      </x:c>
      <x:c r="C257" s="15" t="inlineStr">
        <x:is>
          <x:t xml:space="preserve">S&amp;R</x:t>
        </x:is>
      </x:c>
      <x:c r="D257" s="16">
        <x:v>316</x:v>
      </x:c>
      <x:c r="E257" s="16">
        <x:v>8</x:v>
      </x:c>
      <x:c r="F257" s="16">
        <x:v>198</x:v>
      </x:c>
      <x:c r="G257" s="16">
        <x:v>5</x:v>
      </x:c>
      <x:c r="H257" s="32">
        <x:f>(G257/F257-E257/D257)*100</x:f>
        <x:v>-0.006393044367727918</x:v>
      </x:c>
      <x:c r="I257" s="1"/>
      <x:c r="J257" s="1"/>
      <x:c r="K257" s="1"/>
    </x:row>
    <x:row r="258" ht="22" customHeight="1">
      <x:c r="A258" s="13" t="inlineStr">
        <x:is>
          <x:t xml:space="preserve">2021/2022</x:t>
        </x:is>
      </x:c>
      <x:c r="B258" s="13" t="inlineStr">
        <x:is>
          <x:t xml:space="preserve">CDU/CSU</x:t>
        </x:is>
      </x:c>
      <x:c r="C258" s="13" t="inlineStr">
        <x:is>
          <x:t xml:space="preserve">Ökologie</x:t>
        </x:is>
      </x:c>
      <x:c r="D258" s="14">
        <x:v>1012</x:v>
      </x:c>
      <x:c r="E258" s="14">
        <x:v>386</x:v>
      </x:c>
      <x:c r="F258" s="14">
        <x:v>1003</x:v>
      </x:c>
      <x:c r="G258" s="14">
        <x:v>221</x:v>
      </x:c>
      <x:c r="H258" s="31">
        <x:f>(G258/F258-E258/D258)*100</x:f>
        <x:v>-16.108394185033834</x:v>
      </x:c>
      <x:c r="I258" s="1"/>
      <x:c r="J258" s="1"/>
      <x:c r="K258" s="1"/>
    </x:row>
    <x:row r="259" ht="22" customHeight="1">
      <x:c r="A259" s="15" t="inlineStr">
        <x:is>
          <x:t xml:space="preserve">2021/2022</x:t>
        </x:is>
      </x:c>
      <x:c r="B259" s="15" t="inlineStr">
        <x:is>
          <x:t xml:space="preserve">SPD</x:t>
        </x:is>
      </x:c>
      <x:c r="C259" s="15" t="inlineStr">
        <x:is>
          <x:t xml:space="preserve">Ökologie</x:t>
        </x:is>
      </x:c>
      <x:c r="D259" s="16">
        <x:v>392</x:v>
      </x:c>
      <x:c r="E259" s="16">
        <x:v>139</x:v>
      </x:c>
      <x:c r="F259" s="16">
        <x:v>975</x:v>
      </x:c>
      <x:c r="G259" s="16">
        <x:v>241</x:v>
      </x:c>
      <x:c r="H259" s="32">
        <x:f>(G259/F259-E259/D259)*100</x:f>
        <x:v>-10.741234955520667</x:v>
      </x:c>
      <x:c r="I259" s="1"/>
      <x:c r="J259" s="1"/>
      <x:c r="K259" s="1"/>
    </x:row>
    <x:row r="260" ht="22" customHeight="1">
      <x:c r="A260" s="13" t="inlineStr">
        <x:is>
          <x:t xml:space="preserve">2021/2022</x:t>
        </x:is>
      </x:c>
      <x:c r="B260" s="13" t="inlineStr">
        <x:is>
          <x:t xml:space="preserve">Grüne</x:t>
        </x:is>
      </x:c>
      <x:c r="C260" s="13" t="inlineStr">
        <x:is>
          <x:t xml:space="preserve">Ökologie</x:t>
        </x:is>
      </x:c>
      <x:c r="D260" s="14">
        <x:v>258</x:v>
      </x:c>
      <x:c r="E260" s="14">
        <x:v>95</x:v>
      </x:c>
      <x:c r="F260" s="14">
        <x:v>766</x:v>
      </x:c>
      <x:c r="G260" s="14">
        <x:v>242</x:v>
      </x:c>
      <x:c r="H260" s="31">
        <x:f>(G260/F260-E260/D260)*100</x:f>
        <x:v>-5.229016131317421</x:v>
      </x:c>
      <x:c r="I260" s="1"/>
      <x:c r="J260" s="1"/>
      <x:c r="K260" s="1"/>
    </x:row>
    <x:row r="261" ht="22" customHeight="1">
      <x:c r="A261" s="15" t="inlineStr">
        <x:is>
          <x:t xml:space="preserve">2021/2022</x:t>
        </x:is>
      </x:c>
      <x:c r="B261" s="15" t="inlineStr">
        <x:is>
          <x:t xml:space="preserve">FDP</x:t>
        </x:is>
      </x:c>
      <x:c r="C261" s="15" t="inlineStr">
        <x:is>
          <x:t xml:space="preserve">Ökologie</x:t>
        </x:is>
      </x:c>
      <x:c r="D261" s="16">
        <x:v>183</x:v>
      </x:c>
      <x:c r="E261" s="16">
        <x:v>53</x:v>
      </x:c>
      <x:c r="F261" s="16">
        <x:v>378</x:v>
      </x:c>
      <x:c r="G261" s="16">
        <x:v>87</x:v>
      </x:c>
      <x:c r="H261" s="32">
        <x:f>(G261/F261-E261/D261)*100</x:f>
        <x:v>-5.945875618006766</x:v>
      </x:c>
      <x:c r="I261" s="1"/>
      <x:c r="J261" s="1"/>
      <x:c r="K261" s="1"/>
    </x:row>
    <x:row r="262" ht="22" customHeight="1">
      <x:c r="A262" s="13" t="inlineStr">
        <x:is>
          <x:t xml:space="preserve">2021/2022</x:t>
        </x:is>
      </x:c>
      <x:c r="B262" s="13" t="inlineStr">
        <x:is>
          <x:t xml:space="preserve">AfD</x:t>
        </x:is>
      </x:c>
      <x:c r="C262" s="13" t="inlineStr">
        <x:is>
          <x:t xml:space="preserve">Ökologie</x:t>
        </x:is>
      </x:c>
      <x:c r="D262" s="14">
        <x:v>274</x:v>
      </x:c>
      <x:c r="E262" s="14">
        <x:v>56</x:v>
      </x:c>
      <x:c r="F262" s="14">
        <x:v>510</x:v>
      </x:c>
      <x:c r="G262" s="14">
        <x:v>67</x:v>
      </x:c>
      <x:c r="H262" s="31">
        <x:f>(G262/F262-E262/D262)*100</x:f>
        <x:v>-7.300701302418777</x:v>
      </x:c>
      <x:c r="I262" s="1"/>
      <x:c r="J262" s="1"/>
      <x:c r="K262" s="1"/>
    </x:row>
    <x:row r="263" ht="22" customHeight="1">
      <x:c r="A263" s="15" t="inlineStr">
        <x:is>
          <x:t xml:space="preserve">2021/2022</x:t>
        </x:is>
      </x:c>
      <x:c r="B263" s="15" t="inlineStr">
        <x:is>
          <x:t xml:space="preserve">Die Linke</x:t>
        </x:is>
      </x:c>
      <x:c r="C263" s="15" t="inlineStr">
        <x:is>
          <x:t xml:space="preserve">Ökologie</x:t>
        </x:is>
      </x:c>
      <x:c r="D263" s="16">
        <x:v>198</x:v>
      </x:c>
      <x:c r="E263" s="16">
        <x:v>69</x:v>
      </x:c>
      <x:c r="F263" s="16">
        <x:v>375</x:v>
      </x:c>
      <x:c r="G263" s="16">
        <x:v>71</x:v>
      </x:c>
      <x:c r="H263" s="32">
        <x:f>(G263/F263-E263/D263)*100</x:f>
        <x:v>-15.915151515151518</x:v>
      </x:c>
      <x:c r="I263" s="1"/>
      <x:c r="J263" s="1"/>
      <x:c r="K263" s="1"/>
    </x:row>
    <x:row r="264" ht="22" customHeight="1">
      <x:c r="A264" s="13" t="inlineStr">
        <x:is>
          <x:t xml:space="preserve">2021/2022</x:t>
        </x:is>
      </x:c>
      <x:c r="B264" s="13" t="inlineStr">
        <x:is>
          <x:t xml:space="preserve">CDU/CSU</x:t>
        </x:is>
      </x:c>
      <x:c r="C264" s="13" t="inlineStr">
        <x:is>
          <x:t xml:space="preserve">Ökonomie</x:t>
        </x:is>
      </x:c>
      <x:c r="D264" s="14">
        <x:v>1012</x:v>
      </x:c>
      <x:c r="E264" s="14">
        <x:v>204</x:v>
      </x:c>
      <x:c r="F264" s="14">
        <x:v>1003</x:v>
      </x:c>
      <x:c r="G264" s="14">
        <x:v>248</x:v>
      </x:c>
      <x:c r="H264" s="31">
        <x:f>(G264/F264-E264/D264)*100</x:f>
        <x:v>4.567719765604372</x:v>
      </x:c>
      <x:c r="I264" s="1"/>
      <x:c r="J264" s="1"/>
      <x:c r="K264" s="1"/>
    </x:row>
    <x:row r="265" ht="22" customHeight="1">
      <x:c r="A265" s="15" t="inlineStr">
        <x:is>
          <x:t xml:space="preserve">2021/2022</x:t>
        </x:is>
      </x:c>
      <x:c r="B265" s="15" t="inlineStr">
        <x:is>
          <x:t xml:space="preserve">SPD</x:t>
        </x:is>
      </x:c>
      <x:c r="C265" s="15" t="inlineStr">
        <x:is>
          <x:t xml:space="preserve">Ökonomie</x:t>
        </x:is>
      </x:c>
      <x:c r="D265" s="16">
        <x:v>392</x:v>
      </x:c>
      <x:c r="E265" s="16">
        <x:v>75</x:v>
      </x:c>
      <x:c r="F265" s="16">
        <x:v>975</x:v>
      </x:c>
      <x:c r="G265" s="16">
        <x:v>256</x:v>
      </x:c>
      <x:c r="H265" s="32">
        <x:f>(G265/F265-E265/D265)*100</x:f>
        <x:v>7.123757195185767</x:v>
      </x:c>
      <x:c r="I265" s="1"/>
      <x:c r="J265" s="1"/>
      <x:c r="K265" s="1"/>
    </x:row>
    <x:row r="266" ht="22" customHeight="1">
      <x:c r="A266" s="13" t="inlineStr">
        <x:is>
          <x:t xml:space="preserve">2021/2022</x:t>
        </x:is>
      </x:c>
      <x:c r="B266" s="13" t="inlineStr">
        <x:is>
          <x:t xml:space="preserve">Grüne</x:t>
        </x:is>
      </x:c>
      <x:c r="C266" s="13" t="inlineStr">
        <x:is>
          <x:t xml:space="preserve">Ökonomie</x:t>
        </x:is>
      </x:c>
      <x:c r="D266" s="14">
        <x:v>258</x:v>
      </x:c>
      <x:c r="E266" s="14">
        <x:v>54</x:v>
      </x:c>
      <x:c r="F266" s="14">
        <x:v>766</x:v>
      </x:c>
      <x:c r="G266" s="14">
        <x:v>208</x:v>
      </x:c>
      <x:c r="H266" s="31">
        <x:f>(G266/F266-E266/D266)*100</x:f>
        <x:v>6.223814439249501</x:v>
      </x:c>
      <x:c r="I266" s="1"/>
      <x:c r="J266" s="1"/>
      <x:c r="K266" s="1"/>
    </x:row>
    <x:row r="267" ht="22" customHeight="1">
      <x:c r="A267" s="15" t="inlineStr">
        <x:is>
          <x:t xml:space="preserve">2021/2022</x:t>
        </x:is>
      </x:c>
      <x:c r="B267" s="15" t="inlineStr">
        <x:is>
          <x:t xml:space="preserve">FDP</x:t>
        </x:is>
      </x:c>
      <x:c r="C267" s="15" t="inlineStr">
        <x:is>
          <x:t xml:space="preserve">Ökonomie</x:t>
        </x:is>
      </x:c>
      <x:c r="D267" s="16">
        <x:v>183</x:v>
      </x:c>
      <x:c r="E267" s="16">
        <x:v>47</x:v>
      </x:c>
      <x:c r="F267" s="16">
        <x:v>378</x:v>
      </x:c>
      <x:c r="G267" s="16">
        <x:v>117</x:v>
      </x:c>
      <x:c r="H267" s="32">
        <x:f>(G267/F267-E267/D267)*100</x:f>
        <x:v>5.269320843091335</x:v>
      </x:c>
      <x:c r="I267" s="1"/>
      <x:c r="J267" s="1"/>
      <x:c r="K267" s="1"/>
    </x:row>
    <x:row r="268" ht="22" customHeight="1">
      <x:c r="A268" s="13" t="inlineStr">
        <x:is>
          <x:t xml:space="preserve">2021/2022</x:t>
        </x:is>
      </x:c>
      <x:c r="B268" s="13" t="inlineStr">
        <x:is>
          <x:t xml:space="preserve">AfD</x:t>
        </x:is>
      </x:c>
      <x:c r="C268" s="13" t="inlineStr">
        <x:is>
          <x:t xml:space="preserve">Ökonomie</x:t>
        </x:is>
      </x:c>
      <x:c r="D268" s="14">
        <x:v>274</x:v>
      </x:c>
      <x:c r="E268" s="14">
        <x:v>79</x:v>
      </x:c>
      <x:c r="F268" s="14">
        <x:v>510</x:v>
      </x:c>
      <x:c r="G268" s="14">
        <x:v>180</x:v>
      </x:c>
      <x:c r="H268" s="31">
        <x:f>(G268/F268-E268/D268)*100</x:f>
        <x:v>6.46200085873766</x:v>
      </x:c>
      <x:c r="I268" s="1"/>
      <x:c r="J268" s="1"/>
      <x:c r="K268" s="1"/>
    </x:row>
    <x:row r="269" ht="22" customHeight="1">
      <x:c r="A269" s="15" t="inlineStr">
        <x:is>
          <x:t xml:space="preserve">2021/2022</x:t>
        </x:is>
      </x:c>
      <x:c r="B269" s="15" t="inlineStr">
        <x:is>
          <x:t xml:space="preserve">Die Linke</x:t>
        </x:is>
      </x:c>
      <x:c r="C269" s="15" t="inlineStr">
        <x:is>
          <x:t xml:space="preserve">Ökonomie</x:t>
        </x:is>
      </x:c>
      <x:c r="D269" s="16">
        <x:v>198</x:v>
      </x:c>
      <x:c r="E269" s="16">
        <x:v>61</x:v>
      </x:c>
      <x:c r="F269" s="16">
        <x:v>375</x:v>
      </x:c>
      <x:c r="G269" s="16">
        <x:v>163</x:v>
      </x:c>
      <x:c r="H269" s="32">
        <x:f>(G269/F269-E269/D269)*100</x:f>
        <x:v>12.658585858585859</x:v>
      </x:c>
      <x:c r="I269" s="1"/>
      <x:c r="J269" s="1"/>
      <x:c r="K269" s="1"/>
    </x:row>
    <x:row r="270" ht="22" customHeight="1">
      <x:c r="A270" s="13" t="inlineStr">
        <x:is>
          <x:t xml:space="preserve">2021/2022</x:t>
        </x:is>
      </x:c>
      <x:c r="B270" s="13" t="inlineStr">
        <x:is>
          <x:t xml:space="preserve">CDU/CSU</x:t>
        </x:is>
      </x:c>
      <x:c r="C270" s="13" t="inlineStr">
        <x:is>
          <x:t xml:space="preserve">S&amp;R</x:t>
        </x:is>
      </x:c>
      <x:c r="D270" s="14">
        <x:v>1012</x:v>
      </x:c>
      <x:c r="E270" s="14">
        <x:v>34</x:v>
      </x:c>
      <x:c r="F270" s="14">
        <x:v>1003</x:v>
      </x:c>
      <x:c r="G270" s="14">
        <x:v>80</x:v>
      </x:c>
      <x:c r="H270" s="31">
        <x:f>(G270/F270-E270/D270)*100</x:f>
        <x:v>4.616387990179659</x:v>
      </x:c>
      <x:c r="I270" s="1"/>
      <x:c r="J270" s="1"/>
      <x:c r="K270" s="1"/>
    </x:row>
    <x:row r="271" ht="22" customHeight="1">
      <x:c r="A271" s="15" t="inlineStr">
        <x:is>
          <x:t xml:space="preserve">2021/2022</x:t>
        </x:is>
      </x:c>
      <x:c r="B271" s="15" t="inlineStr">
        <x:is>
          <x:t xml:space="preserve">SPD</x:t>
        </x:is>
      </x:c>
      <x:c r="C271" s="15" t="inlineStr">
        <x:is>
          <x:t xml:space="preserve">S&amp;R</x:t>
        </x:is>
      </x:c>
      <x:c r="D271" s="16">
        <x:v>392</x:v>
      </x:c>
      <x:c r="E271" s="16">
        <x:v>3</x:v>
      </x:c>
      <x:c r="F271" s="16">
        <x:v>975</x:v>
      </x:c>
      <x:c r="G271" s="16">
        <x:v>97</x:v>
      </x:c>
      <x:c r="H271" s="32">
        <x:f>(G271/F271-E271/D271)*100</x:f>
        <x:v>9.18341182626897</x:v>
      </x:c>
      <x:c r="I271" s="1"/>
      <x:c r="J271" s="1"/>
      <x:c r="K271" s="1"/>
    </x:row>
    <x:row r="272" ht="22" customHeight="1">
      <x:c r="A272" s="13" t="inlineStr">
        <x:is>
          <x:t xml:space="preserve">2021/2022</x:t>
        </x:is>
      </x:c>
      <x:c r="B272" s="13" t="inlineStr">
        <x:is>
          <x:t xml:space="preserve">Grüne</x:t>
        </x:is>
      </x:c>
      <x:c r="C272" s="13" t="inlineStr">
        <x:is>
          <x:t xml:space="preserve">S&amp;R</x:t>
        </x:is>
      </x:c>
      <x:c r="D272" s="14">
        <x:v>258</x:v>
      </x:c>
      <x:c r="E272" s="14">
        <x:v>2</x:v>
      </x:c>
      <x:c r="F272" s="14">
        <x:v>766</x:v>
      </x:c>
      <x:c r="G272" s="14">
        <x:v>102</x:v>
      </x:c>
      <x:c r="H272" s="31">
        <x:f>(G272/F272-E272/D272)*100</x:f>
        <x:v>12.540733094500778</x:v>
      </x:c>
      <x:c r="I272" s="1"/>
      <x:c r="J272" s="1"/>
      <x:c r="K272" s="1"/>
    </x:row>
    <x:row r="273" ht="22" customHeight="1">
      <x:c r="A273" s="15" t="inlineStr">
        <x:is>
          <x:t xml:space="preserve">2021/2022</x:t>
        </x:is>
      </x:c>
      <x:c r="B273" s="15" t="inlineStr">
        <x:is>
          <x:t xml:space="preserve">FDP</x:t>
        </x:is>
      </x:c>
      <x:c r="C273" s="15" t="inlineStr">
        <x:is>
          <x:t xml:space="preserve">S&amp;R</x:t>
        </x:is>
      </x:c>
      <x:c r="D273" s="16">
        <x:v>183</x:v>
      </x:c>
      <x:c r="E273" s="16">
        <x:v>6</x:v>
      </x:c>
      <x:c r="F273" s="16">
        <x:v>378</x:v>
      </x:c>
      <x:c r="G273" s="16">
        <x:v>39</x:v>
      </x:c>
      <x:c r="H273" s="32">
        <x:f>(G273/F273-E273/D273)*100</x:f>
        <x:v>7.038771792870152</x:v>
      </x:c>
      <x:c r="I273" s="1"/>
      <x:c r="J273" s="1"/>
      <x:c r="K273" s="1"/>
    </x:row>
    <x:row r="274" ht="22" customHeight="1">
      <x:c r="A274" s="13" t="inlineStr">
        <x:is>
          <x:t xml:space="preserve">2021/2022</x:t>
        </x:is>
      </x:c>
      <x:c r="B274" s="13" t="inlineStr">
        <x:is>
          <x:t xml:space="preserve">AfD</x:t>
        </x:is>
      </x:c>
      <x:c r="C274" s="13" t="inlineStr">
        <x:is>
          <x:t xml:space="preserve">S&amp;R</x:t>
        </x:is>
      </x:c>
      <x:c r="D274" s="14">
        <x:v>274</x:v>
      </x:c>
      <x:c r="E274" s="14">
        <x:v>9</x:v>
      </x:c>
      <x:c r="F274" s="14">
        <x:v>510</x:v>
      </x:c>
      <x:c r="G274" s="14">
        <x:v>54</x:v>
      </x:c>
      <x:c r="H274" s="31">
        <x:f>(G274/F274-E274/D274)*100</x:f>
        <x:v>7.303563761270931</x:v>
      </x:c>
      <x:c r="I274" s="1"/>
      <x:c r="J274" s="1"/>
      <x:c r="K274" s="1"/>
    </x:row>
    <x:row r="275" ht="22" customHeight="1">
      <x:c r="A275" s="15" t="inlineStr">
        <x:is>
          <x:t xml:space="preserve">2021/2022</x:t>
        </x:is>
      </x:c>
      <x:c r="B275" s="15" t="inlineStr">
        <x:is>
          <x:t xml:space="preserve">Die Linke</x:t>
        </x:is>
      </x:c>
      <x:c r="C275" s="15" t="inlineStr">
        <x:is>
          <x:t xml:space="preserve">S&amp;R</x:t>
        </x:is>
      </x:c>
      <x:c r="D275" s="16">
        <x:v>198</x:v>
      </x:c>
      <x:c r="E275" s="16">
        <x:v>5</x:v>
      </x:c>
      <x:c r="F275" s="16">
        <x:v>375</x:v>
      </x:c>
      <x:c r="G275" s="16">
        <x:v>31</x:v>
      </x:c>
      <x:c r="H275" s="32">
        <x:f>(G275/F275-E275/D275)*100</x:f>
        <x:v>5.7414141414141415</x:v>
      </x:c>
      <x:c r="I275" s="1"/>
      <x:c r="J275" s="1"/>
      <x:c r="K275" s="1"/>
    </x:row>
    <x:row r="276" ht="22" customHeight="1">
      <x:c r="A276" s="13" t="inlineStr">
        <x:is>
          <x:t xml:space="preserve">2022/2023</x:t>
        </x:is>
      </x:c>
      <x:c r="B276" s="13" t="inlineStr">
        <x:is>
          <x:t xml:space="preserve">CDU/CSU</x:t>
        </x:is>
      </x:c>
      <x:c r="C276" s="13" t="inlineStr">
        <x:is>
          <x:t xml:space="preserve">Ökologie</x:t>
        </x:is>
      </x:c>
      <x:c r="D276" s="14">
        <x:v>1003</x:v>
      </x:c>
      <x:c r="E276" s="14">
        <x:v>221</x:v>
      </x:c>
      <x:c r="F276" s="14">
        <x:v>792</x:v>
      </x:c>
      <x:c r="G276" s="14">
        <x:v>186</x:v>
      </x:c>
      <x:c r="H276" s="31">
        <x:f>(G276/F276-E276/D276)*100</x:f>
        <x:v>1.450950179763741</x:v>
      </x:c>
      <x:c r="I276" s="1"/>
      <x:c r="J276" s="1"/>
      <x:c r="K276" s="1"/>
    </x:row>
    <x:row r="277" ht="22" customHeight="1">
      <x:c r="A277" s="15" t="inlineStr">
        <x:is>
          <x:t xml:space="preserve">2022/2023</x:t>
        </x:is>
      </x:c>
      <x:c r="B277" s="15" t="inlineStr">
        <x:is>
          <x:t xml:space="preserve">SPD</x:t>
        </x:is>
      </x:c>
      <x:c r="C277" s="15" t="inlineStr">
        <x:is>
          <x:t xml:space="preserve">Ökologie</x:t>
        </x:is>
      </x:c>
      <x:c r="D277" s="16">
        <x:v>975</x:v>
      </x:c>
      <x:c r="E277" s="16">
        <x:v>241</x:v>
      </x:c>
      <x:c r="F277" s="16">
        <x:v>915</x:v>
      </x:c>
      <x:c r="G277" s="16">
        <x:v>281</x:v>
      </x:c>
      <x:c r="H277" s="32">
        <x:f>(G277/F277-E277/D277)*100</x:f>
        <x:v>5.992433795712482</x:v>
      </x:c>
      <x:c r="I277" s="1"/>
      <x:c r="J277" s="1"/>
      <x:c r="K277" s="1"/>
    </x:row>
    <x:row r="278" ht="22" customHeight="1">
      <x:c r="A278" s="13" t="inlineStr">
        <x:is>
          <x:t xml:space="preserve">2022/2023</x:t>
        </x:is>
      </x:c>
      <x:c r="B278" s="13" t="inlineStr">
        <x:is>
          <x:t xml:space="preserve">Grüne</x:t>
        </x:is>
      </x:c>
      <x:c r="C278" s="13" t="inlineStr">
        <x:is>
          <x:t xml:space="preserve">Ökologie</x:t>
        </x:is>
      </x:c>
      <x:c r="D278" s="14">
        <x:v>766</x:v>
      </x:c>
      <x:c r="E278" s="14">
        <x:v>242</x:v>
      </x:c>
      <x:c r="F278" s="14">
        <x:v>663</x:v>
      </x:c>
      <x:c r="G278" s="14">
        <x:v>212</x:v>
      </x:c>
      <x:c r="H278" s="31">
        <x:f>(G278/F278-E278/D278)*100</x:f>
        <x:v>0.38317797494574757</x:v>
      </x:c>
      <x:c r="I278" s="1"/>
      <x:c r="J278" s="1"/>
      <x:c r="K278" s="1"/>
    </x:row>
    <x:row r="279" ht="22" customHeight="1">
      <x:c r="A279" s="15" t="inlineStr">
        <x:is>
          <x:t xml:space="preserve">2022/2023</x:t>
        </x:is>
      </x:c>
      <x:c r="B279" s="15" t="inlineStr">
        <x:is>
          <x:t xml:space="preserve">FDP</x:t>
        </x:is>
      </x:c>
      <x:c r="C279" s="15" t="inlineStr">
        <x:is>
          <x:t xml:space="preserve">Ökologie</x:t>
        </x:is>
      </x:c>
      <x:c r="D279" s="16">
        <x:v>378</x:v>
      </x:c>
      <x:c r="E279" s="16">
        <x:v>87</x:v>
      </x:c>
      <x:c r="F279" s="16">
        <x:v>314</x:v>
      </x:c>
      <x:c r="G279" s="16">
        <x:v>99</x:v>
      </x:c>
      <x:c r="H279" s="32">
        <x:f>(G279/F279-E279/D279)*100</x:f>
        <x:v>8.51278940450915</x:v>
      </x:c>
      <x:c r="I279" s="1"/>
      <x:c r="J279" s="1"/>
      <x:c r="K279" s="1"/>
    </x:row>
    <x:row r="280" ht="22" customHeight="1">
      <x:c r="A280" s="13" t="inlineStr">
        <x:is>
          <x:t xml:space="preserve">2022/2023</x:t>
        </x:is>
      </x:c>
      <x:c r="B280" s="13" t="inlineStr">
        <x:is>
          <x:t xml:space="preserve">AfD</x:t>
        </x:is>
      </x:c>
      <x:c r="C280" s="13" t="inlineStr">
        <x:is>
          <x:t xml:space="preserve">Ökologie</x:t>
        </x:is>
      </x:c>
      <x:c r="D280" s="14">
        <x:v>510</x:v>
      </x:c>
      <x:c r="E280" s="14">
        <x:v>67</x:v>
      </x:c>
      <x:c r="F280" s="14">
        <x:v>407</x:v>
      </x:c>
      <x:c r="G280" s="14">
        <x:v>72</x:v>
      </x:c>
      <x:c r="H280" s="31">
        <x:f>(G280/F280-E280/D280)*100</x:f>
        <x:v>4.553162788456905</x:v>
      </x:c>
      <x:c r="I280" s="1"/>
      <x:c r="J280" s="1"/>
      <x:c r="K280" s="1"/>
    </x:row>
    <x:row r="281" ht="22" customHeight="1">
      <x:c r="A281" s="15" t="inlineStr">
        <x:is>
          <x:t xml:space="preserve">2022/2023</x:t>
        </x:is>
      </x:c>
      <x:c r="B281" s="15" t="inlineStr">
        <x:is>
          <x:t xml:space="preserve">Die Linke</x:t>
        </x:is>
      </x:c>
      <x:c r="C281" s="15" t="inlineStr">
        <x:is>
          <x:t xml:space="preserve">Ökologie</x:t>
        </x:is>
      </x:c>
      <x:c r="D281" s="16">
        <x:v>375</x:v>
      </x:c>
      <x:c r="E281" s="16">
        <x:v>71</x:v>
      </x:c>
      <x:c r="F281" s="16">
        <x:v>308</x:v>
      </x:c>
      <x:c r="G281" s="16">
        <x:v>72</x:v>
      </x:c>
      <x:c r="H281" s="32">
        <x:f>(G281/F281-E281/D281)*100</x:f>
        <x:v>4.443290043290044</x:v>
      </x:c>
      <x:c r="I281" s="1"/>
      <x:c r="J281" s="1"/>
      <x:c r="K281" s="1"/>
    </x:row>
    <x:row r="282" ht="22" customHeight="1">
      <x:c r="A282" s="13" t="inlineStr">
        <x:is>
          <x:t xml:space="preserve">2022/2023</x:t>
        </x:is>
      </x:c>
      <x:c r="B282" s="13" t="inlineStr">
        <x:is>
          <x:t xml:space="preserve">CDU/CSU</x:t>
        </x:is>
      </x:c>
      <x:c r="C282" s="13" t="inlineStr">
        <x:is>
          <x:t xml:space="preserve">Ökonomie</x:t>
        </x:is>
      </x:c>
      <x:c r="D282" s="14">
        <x:v>1003</x:v>
      </x:c>
      <x:c r="E282" s="14">
        <x:v>248</x:v>
      </x:c>
      <x:c r="F282" s="14">
        <x:v>792</x:v>
      </x:c>
      <x:c r="G282" s="14">
        <x:v>168</x:v>
      </x:c>
      <x:c r="H282" s="31">
        <x:f>(G282/F282-E282/D282)*100</x:f>
        <x:v>-3.5137013202815788</x:v>
      </x:c>
      <x:c r="I282" s="1"/>
      <x:c r="J282" s="1"/>
      <x:c r="K282" s="1"/>
    </x:row>
    <x:row r="283" ht="22" customHeight="1">
      <x:c r="A283" s="15" t="inlineStr">
        <x:is>
          <x:t xml:space="preserve">2022/2023</x:t>
        </x:is>
      </x:c>
      <x:c r="B283" s="15" t="inlineStr">
        <x:is>
          <x:t xml:space="preserve">SPD</x:t>
        </x:is>
      </x:c>
      <x:c r="C283" s="15" t="inlineStr">
        <x:is>
          <x:t xml:space="preserve">Ökonomie</x:t>
        </x:is>
      </x:c>
      <x:c r="D283" s="16">
        <x:v>975</x:v>
      </x:c>
      <x:c r="E283" s="16">
        <x:v>256</x:v>
      </x:c>
      <x:c r="F283" s="16">
        <x:v>915</x:v>
      </x:c>
      <x:c r="G283" s="16">
        <x:v>164</x:v>
      </x:c>
      <x:c r="H283" s="32">
        <x:f>(G283/F283-E283/D283)*100</x:f>
        <x:v>-8.332912988650692</x:v>
      </x:c>
      <x:c r="I283" s="1"/>
      <x:c r="J283" s="1"/>
      <x:c r="K283" s="1"/>
    </x:row>
    <x:row r="284" ht="22" customHeight="1">
      <x:c r="A284" s="13" t="inlineStr">
        <x:is>
          <x:t xml:space="preserve">2022/2023</x:t>
        </x:is>
      </x:c>
      <x:c r="B284" s="13" t="inlineStr">
        <x:is>
          <x:t xml:space="preserve">Grüne</x:t>
        </x:is>
      </x:c>
      <x:c r="C284" s="13" t="inlineStr">
        <x:is>
          <x:t xml:space="preserve">Ökonomie</x:t>
        </x:is>
      </x:c>
      <x:c r="D284" s="14">
        <x:v>766</x:v>
      </x:c>
      <x:c r="E284" s="14">
        <x:v>208</x:v>
      </x:c>
      <x:c r="F284" s="14">
        <x:v>663</x:v>
      </x:c>
      <x:c r="G284" s="14">
        <x:v>130</x:v>
      </x:c>
      <x:c r="H284" s="31">
        <x:f>(G284/F284-E284/D284)*100</x:f>
        <x:v>-7.546203860134135</x:v>
      </x:c>
      <x:c r="I284" s="1"/>
      <x:c r="J284" s="1"/>
      <x:c r="K284" s="1"/>
    </x:row>
    <x:row r="285" ht="22" customHeight="1">
      <x:c r="A285" s="15" t="inlineStr">
        <x:is>
          <x:t xml:space="preserve">2022/2023</x:t>
        </x:is>
      </x:c>
      <x:c r="B285" s="15" t="inlineStr">
        <x:is>
          <x:t xml:space="preserve">FDP</x:t>
        </x:is>
      </x:c>
      <x:c r="C285" s="15" t="inlineStr">
        <x:is>
          <x:t xml:space="preserve">Ökonomie</x:t>
        </x:is>
      </x:c>
      <x:c r="D285" s="16">
        <x:v>378</x:v>
      </x:c>
      <x:c r="E285" s="16">
        <x:v>117</x:v>
      </x:c>
      <x:c r="F285" s="16">
        <x:v>314</x:v>
      </x:c>
      <x:c r="G285" s="16">
        <x:v>71</x:v>
      </x:c>
      <x:c r="H285" s="32">
        <x:f>(G285/F285-E285/D285)*100</x:f>
        <x:v>-8.340915984228086</x:v>
      </x:c>
      <x:c r="I285" s="1"/>
      <x:c r="J285" s="1"/>
      <x:c r="K285" s="1"/>
    </x:row>
    <x:row r="286" ht="22" customHeight="1">
      <x:c r="A286" s="13" t="inlineStr">
        <x:is>
          <x:t xml:space="preserve">2022/2023</x:t>
        </x:is>
      </x:c>
      <x:c r="B286" s="13" t="inlineStr">
        <x:is>
          <x:t xml:space="preserve">AfD</x:t>
        </x:is>
      </x:c>
      <x:c r="C286" s="13" t="inlineStr">
        <x:is>
          <x:t xml:space="preserve">Ökonomie</x:t>
        </x:is>
      </x:c>
      <x:c r="D286" s="14">
        <x:v>510</x:v>
      </x:c>
      <x:c r="E286" s="14">
        <x:v>180</x:v>
      </x:c>
      <x:c r="F286" s="14">
        <x:v>407</x:v>
      </x:c>
      <x:c r="G286" s="14">
        <x:v>104</x:v>
      </x:c>
      <x:c r="H286" s="31">
        <x:f>(G286/F286-E286/D286)*100</x:f>
        <x:v>-9.741292094233273</x:v>
      </x:c>
      <x:c r="I286" s="1"/>
      <x:c r="J286" s="1"/>
      <x:c r="K286" s="1"/>
    </x:row>
    <x:row r="287" ht="22" customHeight="1">
      <x:c r="A287" s="15" t="inlineStr">
        <x:is>
          <x:t xml:space="preserve">2022/2023</x:t>
        </x:is>
      </x:c>
      <x:c r="B287" s="15" t="inlineStr">
        <x:is>
          <x:t xml:space="preserve">Die Linke</x:t>
        </x:is>
      </x:c>
      <x:c r="C287" s="15" t="inlineStr">
        <x:is>
          <x:t xml:space="preserve">Ökonomie</x:t>
        </x:is>
      </x:c>
      <x:c r="D287" s="16">
        <x:v>375</x:v>
      </x:c>
      <x:c r="E287" s="16">
        <x:v>163</x:v>
      </x:c>
      <x:c r="F287" s="16">
        <x:v>308</x:v>
      </x:c>
      <x:c r="G287" s="16">
        <x:v>106</x:v>
      </x:c>
      <x:c r="H287" s="32">
        <x:f>(G287/F287-E287/D287)*100</x:f>
        <x:v>-9.05108225108225</x:v>
      </x:c>
      <x:c r="I287" s="1"/>
      <x:c r="J287" s="1"/>
      <x:c r="K287" s="1"/>
    </x:row>
    <x:row r="288" ht="22" customHeight="1">
      <x:c r="A288" s="13" t="inlineStr">
        <x:is>
          <x:t xml:space="preserve">2022/2023</x:t>
        </x:is>
      </x:c>
      <x:c r="B288" s="13" t="inlineStr">
        <x:is>
          <x:t xml:space="preserve">CDU/CSU</x:t>
        </x:is>
      </x:c>
      <x:c r="C288" s="13" t="inlineStr">
        <x:is>
          <x:t xml:space="preserve">S&amp;R</x:t>
        </x:is>
      </x:c>
      <x:c r="D288" s="14">
        <x:v>1003</x:v>
      </x:c>
      <x:c r="E288" s="14">
        <x:v>80</x:v>
      </x:c>
      <x:c r="F288" s="14">
        <x:v>792</x:v>
      </x:c>
      <x:c r="G288" s="14">
        <x:v>36</x:v>
      </x:c>
      <x:c r="H288" s="31">
        <x:f>(G288/F288-E288/D288)*100</x:f>
        <x:v>-3.430617239191516</x:v>
      </x:c>
      <x:c r="I288" s="1"/>
      <x:c r="J288" s="1"/>
      <x:c r="K288" s="1"/>
    </x:row>
    <x:row r="289" ht="22" customHeight="1">
      <x:c r="A289" s="15" t="inlineStr">
        <x:is>
          <x:t xml:space="preserve">2022/2023</x:t>
        </x:is>
      </x:c>
      <x:c r="B289" s="15" t="inlineStr">
        <x:is>
          <x:t xml:space="preserve">SPD</x:t>
        </x:is>
      </x:c>
      <x:c r="C289" s="15" t="inlineStr">
        <x:is>
          <x:t xml:space="preserve">S&amp;R</x:t>
        </x:is>
      </x:c>
      <x:c r="D289" s="16">
        <x:v>975</x:v>
      </x:c>
      <x:c r="E289" s="16">
        <x:v>97</x:v>
      </x:c>
      <x:c r="F289" s="16">
        <x:v>915</x:v>
      </x:c>
      <x:c r="G289" s="16">
        <x:v>74</x:v>
      </x:c>
      <x:c r="H289" s="32">
        <x:f>(G289/F289-E289/D289)*100</x:f>
        <x:v>-1.8612862547288778</x:v>
      </x:c>
      <x:c r="I289" s="1"/>
      <x:c r="J289" s="1"/>
      <x:c r="K289" s="1"/>
    </x:row>
    <x:row r="290" ht="22" customHeight="1">
      <x:c r="A290" s="13" t="inlineStr">
        <x:is>
          <x:t xml:space="preserve">2022/2023</x:t>
        </x:is>
      </x:c>
      <x:c r="B290" s="13" t="inlineStr">
        <x:is>
          <x:t xml:space="preserve">Grüne</x:t>
        </x:is>
      </x:c>
      <x:c r="C290" s="13" t="inlineStr">
        <x:is>
          <x:t xml:space="preserve">S&amp;R</x:t>
        </x:is>
      </x:c>
      <x:c r="D290" s="14">
        <x:v>766</x:v>
      </x:c>
      <x:c r="E290" s="14">
        <x:v>102</x:v>
      </x:c>
      <x:c r="F290" s="14">
        <x:v>663</x:v>
      </x:c>
      <x:c r="G290" s="14">
        <x:v>42</x:v>
      </x:c>
      <x:c r="H290" s="31">
        <x:f>(G290/F290-E290/D290)*100</x:f>
        <x:v>-6.981085263991115</x:v>
      </x:c>
      <x:c r="I290" s="1"/>
      <x:c r="J290" s="1"/>
      <x:c r="K290" s="1"/>
    </x:row>
    <x:row r="291" ht="22" customHeight="1">
      <x:c r="A291" s="15" t="inlineStr">
        <x:is>
          <x:t xml:space="preserve">2022/2023</x:t>
        </x:is>
      </x:c>
      <x:c r="B291" s="15" t="inlineStr">
        <x:is>
          <x:t xml:space="preserve">FDP</x:t>
        </x:is>
      </x:c>
      <x:c r="C291" s="15" t="inlineStr">
        <x:is>
          <x:t xml:space="preserve">S&amp;R</x:t>
        </x:is>
      </x:c>
      <x:c r="D291" s="16">
        <x:v>378</x:v>
      </x:c>
      <x:c r="E291" s="16">
        <x:v>39</x:v>
      </x:c>
      <x:c r="F291" s="16">
        <x:v>314</x:v>
      </x:c>
      <x:c r="G291" s="16">
        <x:v>13</x:v>
      </x:c>
      <x:c r="H291" s="32">
        <x:f>(G291/F291-E291/D291)*100</x:f>
        <x:v>-6.177332928925285</x:v>
      </x:c>
      <x:c r="I291" s="1"/>
      <x:c r="J291" s="1"/>
      <x:c r="K291" s="1"/>
    </x:row>
    <x:row r="292" ht="22" customHeight="1">
      <x:c r="A292" s="13" t="inlineStr">
        <x:is>
          <x:t xml:space="preserve">2022/2023</x:t>
        </x:is>
      </x:c>
      <x:c r="B292" s="13" t="inlineStr">
        <x:is>
          <x:t xml:space="preserve">AfD</x:t>
        </x:is>
      </x:c>
      <x:c r="C292" s="13" t="inlineStr">
        <x:is>
          <x:t xml:space="preserve">S&amp;R</x:t>
        </x:is>
      </x:c>
      <x:c r="D292" s="14">
        <x:v>510</x:v>
      </x:c>
      <x:c r="E292" s="14">
        <x:v>54</x:v>
      </x:c>
      <x:c r="F292" s="14">
        <x:v>407</x:v>
      </x:c>
      <x:c r="G292" s="14">
        <x:v>31</x:v>
      </x:c>
      <x:c r="H292" s="31">
        <x:f>(G292/F292-E292/D292)*100</x:f>
        <x:v>-2.9715276774100294</x:v>
      </x:c>
      <x:c r="I292" s="1"/>
      <x:c r="J292" s="1"/>
      <x:c r="K292" s="1"/>
    </x:row>
    <x:row r="293" ht="22" customHeight="1">
      <x:c r="A293" s="15" t="inlineStr">
        <x:is>
          <x:t xml:space="preserve">2022/2023</x:t>
        </x:is>
      </x:c>
      <x:c r="B293" s="15" t="inlineStr">
        <x:is>
          <x:t xml:space="preserve">Die Linke</x:t>
        </x:is>
      </x:c>
      <x:c r="C293" s="15" t="inlineStr">
        <x:is>
          <x:t xml:space="preserve">S&amp;R</x:t>
        </x:is>
      </x:c>
      <x:c r="D293" s="16">
        <x:v>375</x:v>
      </x:c>
      <x:c r="E293" s="16">
        <x:v>31</x:v>
      </x:c>
      <x:c r="F293" s="16">
        <x:v>308</x:v>
      </x:c>
      <x:c r="G293" s="16">
        <x:v>19</x:v>
      </x:c>
      <x:c r="H293" s="32">
        <x:f>(G293/F293-E293/D293)*100</x:f>
        <x:v>-2.0978354978354976</x:v>
      </x:c>
      <x:c r="I293" s="1"/>
      <x:c r="J293" s="1"/>
      <x:c r="K293" s="1"/>
    </x:row>
    <x:row r="294" ht="22" customHeight="1">
      <x:c r="A294" s="13" t="inlineStr">
        <x:is>
          <x:t xml:space="preserve">2023/2024</x:t>
        </x:is>
      </x:c>
      <x:c r="B294" s="13" t="inlineStr">
        <x:is>
          <x:t xml:space="preserve">CDU/CSU</x:t>
        </x:is>
      </x:c>
      <x:c r="C294" s="13" t="inlineStr">
        <x:is>
          <x:t xml:space="preserve">Ökologie</x:t>
        </x:is>
      </x:c>
      <x:c r="D294" s="14">
        <x:v>792</x:v>
      </x:c>
      <x:c r="E294" s="14">
        <x:v>186</x:v>
      </x:c>
      <x:c r="F294" s="14">
        <x:v>1054</x:v>
      </x:c>
      <x:c r="G294" s="14">
        <x:v>160</x:v>
      </x:c>
      <x:c r="H294" s="31">
        <x:f>(G294/F294-E294/D294)*100</x:f>
        <x:v>-8.30458283019953</x:v>
      </x:c>
      <x:c r="I294" s="1"/>
      <x:c r="J294" s="1"/>
      <x:c r="K294" s="1"/>
    </x:row>
    <x:row r="295" ht="22" customHeight="1">
      <x:c r="A295" s="15" t="inlineStr">
        <x:is>
          <x:t xml:space="preserve">2023/2024</x:t>
        </x:is>
      </x:c>
      <x:c r="B295" s="15" t="inlineStr">
        <x:is>
          <x:t xml:space="preserve">SPD</x:t>
        </x:is>
      </x:c>
      <x:c r="C295" s="15" t="inlineStr">
        <x:is>
          <x:t xml:space="preserve">Ökologie</x:t>
        </x:is>
      </x:c>
      <x:c r="D295" s="16">
        <x:v>915</x:v>
      </x:c>
      <x:c r="E295" s="16">
        <x:v>281</x:v>
      </x:c>
      <x:c r="F295" s="16">
        <x:v>1037</x:v>
      </x:c>
      <x:c r="G295" s="16">
        <x:v>210</x:v>
      </x:c>
      <x:c r="H295" s="32">
        <x:f>(G295/F295-E295/D295)*100</x:f>
        <x:v>-10.459659273545482</x:v>
      </x:c>
      <x:c r="I295" s="1"/>
      <x:c r="J295" s="1"/>
      <x:c r="K295" s="1"/>
    </x:row>
    <x:row r="296" ht="22" customHeight="1">
      <x:c r="A296" s="13" t="inlineStr">
        <x:is>
          <x:t xml:space="preserve">2023/2024</x:t>
        </x:is>
      </x:c>
      <x:c r="B296" s="13" t="inlineStr">
        <x:is>
          <x:t xml:space="preserve">Grüne</x:t>
        </x:is>
      </x:c>
      <x:c r="C296" s="13" t="inlineStr">
        <x:is>
          <x:t xml:space="preserve">Ökologie</x:t>
        </x:is>
      </x:c>
      <x:c r="D296" s="14">
        <x:v>663</x:v>
      </x:c>
      <x:c r="E296" s="14">
        <x:v>212</x:v>
      </x:c>
      <x:c r="F296" s="14">
        <x:v>716</x:v>
      </x:c>
      <x:c r="G296" s="14">
        <x:v>173</x:v>
      </x:c>
      <x:c r="H296" s="31">
        <x:f>(G296/F296-E296/D296)*100</x:f>
        <x:v>-7.813856096800556</x:v>
      </x:c>
      <x:c r="I296" s="1"/>
      <x:c r="J296" s="1"/>
      <x:c r="K296" s="1"/>
    </x:row>
    <x:row r="297" ht="22" customHeight="1">
      <x:c r="A297" s="15" t="inlineStr">
        <x:is>
          <x:t xml:space="preserve">2023/2024</x:t>
        </x:is>
      </x:c>
      <x:c r="B297" s="15" t="inlineStr">
        <x:is>
          <x:t xml:space="preserve">FDP</x:t>
        </x:is>
      </x:c>
      <x:c r="C297" s="15" t="inlineStr">
        <x:is>
          <x:t xml:space="preserve">Ökologie</x:t>
        </x:is>
      </x:c>
      <x:c r="D297" s="16">
        <x:v>314</x:v>
      </x:c>
      <x:c r="E297" s="16">
        <x:v>99</x:v>
      </x:c>
      <x:c r="F297" s="16">
        <x:v>438</x:v>
      </x:c>
      <x:c r="G297" s="16">
        <x:v>66</x:v>
      </x:c>
      <x:c r="H297" s="32">
        <x:f>(G297/F297-E297/D297)*100</x:f>
        <x:v>-16.460169269697232</x:v>
      </x:c>
      <x:c r="I297" s="1"/>
      <x:c r="J297" s="1"/>
      <x:c r="K297" s="1"/>
    </x:row>
    <x:row r="298" ht="22" customHeight="1">
      <x:c r="A298" s="13" t="inlineStr">
        <x:is>
          <x:t xml:space="preserve">2023/2024</x:t>
        </x:is>
      </x:c>
      <x:c r="B298" s="13" t="inlineStr">
        <x:is>
          <x:t xml:space="preserve">AfD</x:t>
        </x:is>
      </x:c>
      <x:c r="C298" s="13" t="inlineStr">
        <x:is>
          <x:t xml:space="preserve">Ökologie</x:t>
        </x:is>
      </x:c>
      <x:c r="D298" s="14">
        <x:v>407</x:v>
      </x:c>
      <x:c r="E298" s="14">
        <x:v>72</x:v>
      </x:c>
      <x:c r="F298" s="14">
        <x:v>529</x:v>
      </x:c>
      <x:c r="G298" s="14">
        <x:v>50</x:v>
      </x:c>
      <x:c r="H298" s="31">
        <x:f>(G298/F298-E298/D298)*100</x:f>
        <x:v>-8.23862184920786</x:v>
      </x:c>
      <x:c r="I298" s="1"/>
      <x:c r="J298" s="1"/>
      <x:c r="K298" s="1"/>
    </x:row>
    <x:row r="299" ht="22" customHeight="1">
      <x:c r="A299" s="15" t="inlineStr">
        <x:is>
          <x:t xml:space="preserve">2023/2024</x:t>
        </x:is>
      </x:c>
      <x:c r="B299" s="15" t="inlineStr">
        <x:is>
          <x:t xml:space="preserve">Die Linke</x:t>
        </x:is>
      </x:c>
      <x:c r="C299" s="15" t="inlineStr">
        <x:is>
          <x:t xml:space="preserve">Ökologie</x:t>
        </x:is>
      </x:c>
      <x:c r="D299" s="16">
        <x:v>308</x:v>
      </x:c>
      <x:c r="E299" s="16">
        <x:v>72</x:v>
      </x:c>
      <x:c r="F299" s="16">
        <x:v>132</x:v>
      </x:c>
      <x:c r="G299" s="16">
        <x:v>29</x:v>
      </x:c>
      <x:c r="H299" s="32">
        <x:f>(G299/F299-E299/D299)*100</x:f>
        <x:v>-1.4069264069264065</x:v>
      </x:c>
      <x:c r="I299" s="1"/>
      <x:c r="J299" s="1"/>
      <x:c r="K299" s="1"/>
    </x:row>
    <x:row r="300" ht="22" customHeight="1">
      <x:c r="A300" s="13" t="inlineStr">
        <x:is>
          <x:t xml:space="preserve">2023/2024</x:t>
        </x:is>
      </x:c>
      <x:c r="B300" s="13" t="inlineStr">
        <x:is>
          <x:t xml:space="preserve">CDU/CSU</x:t>
        </x:is>
      </x:c>
      <x:c r="C300" s="13" t="inlineStr">
        <x:is>
          <x:t xml:space="preserve">Ökonomie</x:t>
        </x:is>
      </x:c>
      <x:c r="D300" s="14">
        <x:v>792</x:v>
      </x:c>
      <x:c r="E300" s="14">
        <x:v>168</x:v>
      </x:c>
      <x:c r="F300" s="14">
        <x:v>1054</x:v>
      </x:c>
      <x:c r="G300" s="14">
        <x:v>374</x:v>
      </x:c>
      <x:c r="H300" s="31">
        <x:f>(G300/F300-E300/D300)*100</x:f>
        <x:v>14.271749755620725</x:v>
      </x:c>
      <x:c r="I300" s="1"/>
      <x:c r="J300" s="1"/>
      <x:c r="K300" s="1"/>
    </x:row>
    <x:row r="301" ht="22" customHeight="1">
      <x:c r="A301" s="15" t="inlineStr">
        <x:is>
          <x:t xml:space="preserve">2023/2024</x:t>
        </x:is>
      </x:c>
      <x:c r="B301" s="15" t="inlineStr">
        <x:is>
          <x:t xml:space="preserve">SPD</x:t>
        </x:is>
      </x:c>
      <x:c r="C301" s="15" t="inlineStr">
        <x:is>
          <x:t xml:space="preserve">Ökonomie</x:t>
        </x:is>
      </x:c>
      <x:c r="D301" s="16">
        <x:v>915</x:v>
      </x:c>
      <x:c r="E301" s="16">
        <x:v>164</x:v>
      </x:c>
      <x:c r="F301" s="16">
        <x:v>1037</x:v>
      </x:c>
      <x:c r="G301" s="16">
        <x:v>256</x:v>
      </x:c>
      <x:c r="H301" s="32">
        <x:f>(G301/F301-E301/D301)*100</x:f>
        <x:v>6.763098682095789</x:v>
      </x:c>
      <x:c r="I301" s="1"/>
      <x:c r="J301" s="1"/>
      <x:c r="K301" s="1"/>
    </x:row>
    <x:row r="302" ht="22" customHeight="1">
      <x:c r="A302" s="13" t="inlineStr">
        <x:is>
          <x:t xml:space="preserve">2023/2024</x:t>
        </x:is>
      </x:c>
      <x:c r="B302" s="13" t="inlineStr">
        <x:is>
          <x:t xml:space="preserve">Grüne</x:t>
        </x:is>
      </x:c>
      <x:c r="C302" s="13" t="inlineStr">
        <x:is>
          <x:t xml:space="preserve">Ökonomie</x:t>
        </x:is>
      </x:c>
      <x:c r="D302" s="14">
        <x:v>663</x:v>
      </x:c>
      <x:c r="E302" s="14">
        <x:v>130</x:v>
      </x:c>
      <x:c r="F302" s="14">
        <x:v>716</x:v>
      </x:c>
      <x:c r="G302" s="14">
        <x:v>200</x:v>
      </x:c>
      <x:c r="H302" s="31">
        <x:f>(G302/F302-E302/D302)*100</x:f>
        <x:v>8.325117756599845</x:v>
      </x:c>
      <x:c r="I302" s="1"/>
      <x:c r="J302" s="1"/>
      <x:c r="K302" s="1"/>
    </x:row>
    <x:row r="303" ht="22" customHeight="1">
      <x:c r="A303" s="15" t="inlineStr">
        <x:is>
          <x:t xml:space="preserve">2023/2024</x:t>
        </x:is>
      </x:c>
      <x:c r="B303" s="15" t="inlineStr">
        <x:is>
          <x:t xml:space="preserve">FDP</x:t>
        </x:is>
      </x:c>
      <x:c r="C303" s="15" t="inlineStr">
        <x:is>
          <x:t xml:space="preserve">Ökonomie</x:t>
        </x:is>
      </x:c>
      <x:c r="D303" s="16">
        <x:v>314</x:v>
      </x:c>
      <x:c r="E303" s="16">
        <x:v>71</x:v>
      </x:c>
      <x:c r="F303" s="16">
        <x:v>438</x:v>
      </x:c>
      <x:c r="G303" s="16">
        <x:v>131</x:v>
      </x:c>
      <x:c r="H303" s="32">
        <x:f>(G303/F303-E303/D303)*100</x:f>
        <x:v>7.297210830933892</x:v>
      </x:c>
      <x:c r="I303" s="1"/>
      <x:c r="J303" s="1"/>
      <x:c r="K303" s="1"/>
    </x:row>
    <x:row r="304" ht="22" customHeight="1">
      <x:c r="A304" s="13" t="inlineStr">
        <x:is>
          <x:t xml:space="preserve">2023/2024</x:t>
        </x:is>
      </x:c>
      <x:c r="B304" s="13" t="inlineStr">
        <x:is>
          <x:t xml:space="preserve">AfD</x:t>
        </x:is>
      </x:c>
      <x:c r="C304" s="13" t="inlineStr">
        <x:is>
          <x:t xml:space="preserve">Ökonomie</x:t>
        </x:is>
      </x:c>
      <x:c r="D304" s="14">
        <x:v>407</x:v>
      </x:c>
      <x:c r="E304" s="14">
        <x:v>104</x:v>
      </x:c>
      <x:c r="F304" s="14">
        <x:v>529</x:v>
      </x:c>
      <x:c r="G304" s="14">
        <x:v>177</x:v>
      </x:c>
      <x:c r="H304" s="31">
        <x:f>(G304/F304-E304/D304)*100</x:f>
        <x:v>7.906531725057242</x:v>
      </x:c>
      <x:c r="I304" s="1"/>
      <x:c r="J304" s="1"/>
      <x:c r="K304" s="1"/>
    </x:row>
    <x:row r="305" ht="22" customHeight="1">
      <x:c r="A305" s="15" t="inlineStr">
        <x:is>
          <x:t xml:space="preserve">2023/2024</x:t>
        </x:is>
      </x:c>
      <x:c r="B305" s="15" t="inlineStr">
        <x:is>
          <x:t xml:space="preserve">Die Linke</x:t>
        </x:is>
      </x:c>
      <x:c r="C305" s="15" t="inlineStr">
        <x:is>
          <x:t xml:space="preserve">Ökonomie</x:t>
        </x:is>
      </x:c>
      <x:c r="D305" s="16">
        <x:v>308</x:v>
      </x:c>
      <x:c r="E305" s="16">
        <x:v>106</x:v>
      </x:c>
      <x:c r="F305" s="16">
        <x:v>132</x:v>
      </x:c>
      <x:c r="G305" s="16">
        <x:v>58</x:v>
      </x:c>
      <x:c r="H305" s="32">
        <x:f>(G305/F305-E305/D305)*100</x:f>
        <x:v>9.523809523809524</x:v>
      </x:c>
      <x:c r="I305" s="1"/>
      <x:c r="J305" s="1"/>
      <x:c r="K305" s="1"/>
    </x:row>
    <x:row r="306" ht="22" customHeight="1">
      <x:c r="A306" s="13" t="inlineStr">
        <x:is>
          <x:t xml:space="preserve">2023/2024</x:t>
        </x:is>
      </x:c>
      <x:c r="B306" s="13" t="inlineStr">
        <x:is>
          <x:t xml:space="preserve">CDU/CSU</x:t>
        </x:is>
      </x:c>
      <x:c r="C306" s="13" t="inlineStr">
        <x:is>
          <x:t xml:space="preserve">S&amp;R</x:t>
        </x:is>
      </x:c>
      <x:c r="D306" s="14">
        <x:v>792</x:v>
      </x:c>
      <x:c r="E306" s="14">
        <x:v>36</x:v>
      </x:c>
      <x:c r="F306" s="14">
        <x:v>1054</x:v>
      </x:c>
      <x:c r="G306" s="14">
        <x:v>15</x:v>
      </x:c>
      <x:c r="H306" s="31">
        <x:f>(G306/F306-E306/D306)*100</x:f>
        <x:v>-3.122304640331206</x:v>
      </x:c>
      <x:c r="I306" s="1"/>
      <x:c r="J306" s="1"/>
      <x:c r="K306" s="1"/>
    </x:row>
    <x:row r="307" ht="22" customHeight="1">
      <x:c r="A307" s="15" t="inlineStr">
        <x:is>
          <x:t xml:space="preserve">2023/2024</x:t>
        </x:is>
      </x:c>
      <x:c r="B307" s="15" t="inlineStr">
        <x:is>
          <x:t xml:space="preserve">SPD</x:t>
        </x:is>
      </x:c>
      <x:c r="C307" s="15" t="inlineStr">
        <x:is>
          <x:t xml:space="preserve">S&amp;R</x:t>
        </x:is>
      </x:c>
      <x:c r="D307" s="16">
        <x:v>915</x:v>
      </x:c>
      <x:c r="E307" s="16">
        <x:v>74</x:v>
      </x:c>
      <x:c r="F307" s="16">
        <x:v>1037</x:v>
      </x:c>
      <x:c r="G307" s="16">
        <x:v>26</x:v>
      </x:c>
      <x:c r="H307" s="32">
        <x:f>(G307/F307-E307/D307)*100</x:f>
        <x:v>-5.580199292831887</x:v>
      </x:c>
      <x:c r="I307" s="1"/>
      <x:c r="J307" s="1"/>
      <x:c r="K307" s="1"/>
    </x:row>
    <x:row r="308" ht="22" customHeight="1">
      <x:c r="A308" s="13" t="inlineStr">
        <x:is>
          <x:t xml:space="preserve">2023/2024</x:t>
        </x:is>
      </x:c>
      <x:c r="B308" s="13" t="inlineStr">
        <x:is>
          <x:t xml:space="preserve">Grüne</x:t>
        </x:is>
      </x:c>
      <x:c r="C308" s="13" t="inlineStr">
        <x:is>
          <x:t xml:space="preserve">S&amp;R</x:t>
        </x:is>
      </x:c>
      <x:c r="D308" s="14">
        <x:v>663</x:v>
      </x:c>
      <x:c r="E308" s="14">
        <x:v>42</x:v>
      </x:c>
      <x:c r="F308" s="14">
        <x:v>716</x:v>
      </x:c>
      <x:c r="G308" s="14">
        <x:v>27</x:v>
      </x:c>
      <x:c r="H308" s="31">
        <x:f>(G308/F308-E308/D308)*100</x:f>
        <x:v>-2.5638919082888845</x:v>
      </x:c>
      <x:c r="I308" s="1"/>
      <x:c r="J308" s="1"/>
      <x:c r="K308" s="1"/>
    </x:row>
    <x:row r="309" ht="22" customHeight="1">
      <x:c r="A309" s="15" t="inlineStr">
        <x:is>
          <x:t xml:space="preserve">2023/2024</x:t>
        </x:is>
      </x:c>
      <x:c r="B309" s="15" t="inlineStr">
        <x:is>
          <x:t xml:space="preserve">FDP</x:t>
        </x:is>
      </x:c>
      <x:c r="C309" s="15" t="inlineStr">
        <x:is>
          <x:t xml:space="preserve">S&amp;R</x:t>
        </x:is>
      </x:c>
      <x:c r="D309" s="16">
        <x:v>314</x:v>
      </x:c>
      <x:c r="E309" s="16">
        <x:v>13</x:v>
      </x:c>
      <x:c r="F309" s="16">
        <x:v>438</x:v>
      </x:c>
      <x:c r="G309" s="16">
        <x:v>8</x:v>
      </x:c>
      <x:c r="H309" s="32">
        <x:f>(G309/F309-E309/D309)*100</x:f>
        <x:v>-2.3136433702701917</x:v>
      </x:c>
      <x:c r="I309" s="1"/>
      <x:c r="J309" s="1"/>
      <x:c r="K309" s="1"/>
    </x:row>
    <x:row r="310" ht="22" customHeight="1">
      <x:c r="A310" s="13" t="inlineStr">
        <x:is>
          <x:t xml:space="preserve">2023/2024</x:t>
        </x:is>
      </x:c>
      <x:c r="B310" s="13" t="inlineStr">
        <x:is>
          <x:t xml:space="preserve">AfD</x:t>
        </x:is>
      </x:c>
      <x:c r="C310" s="13" t="inlineStr">
        <x:is>
          <x:t xml:space="preserve">S&amp;R</x:t>
        </x:is>
      </x:c>
      <x:c r="D310" s="14">
        <x:v>407</x:v>
      </x:c>
      <x:c r="E310" s="14">
        <x:v>31</x:v>
      </x:c>
      <x:c r="F310" s="14">
        <x:v>529</x:v>
      </x:c>
      <x:c r="G310" s="14">
        <x:v>16</x:v>
      </x:c>
      <x:c r="H310" s="31">
        <x:f>(G310/F310-E310/D310)*100</x:f>
        <x:v>-4.592132947520472</x:v>
      </x:c>
      <x:c r="I310" s="1"/>
      <x:c r="J310" s="1"/>
      <x:c r="K310" s="1"/>
    </x:row>
    <x:row r="311" ht="22" customHeight="1">
      <x:c r="A311" s="15" t="inlineStr">
        <x:is>
          <x:t xml:space="preserve">2023/2024</x:t>
        </x:is>
      </x:c>
      <x:c r="B311" s="15" t="inlineStr">
        <x:is>
          <x:t xml:space="preserve">Die Linke</x:t>
        </x:is>
      </x:c>
      <x:c r="C311" s="15" t="inlineStr">
        <x:is>
          <x:t xml:space="preserve">S&amp;R</x:t>
        </x:is>
      </x:c>
      <x:c r="D311" s="16">
        <x:v>308</x:v>
      </x:c>
      <x:c r="E311" s="16">
        <x:v>19</x:v>
      </x:c>
      <x:c r="F311" s="16">
        <x:v>132</x:v>
      </x:c>
      <x:c r="G311" s="16">
        <x:v>0</x:v>
      </x:c>
      <x:c r="H311" s="32">
        <x:f>(G311/F311-E311/D311)*100</x:f>
        <x:v>-6.1688311688311686</x:v>
      </x:c>
      <x:c r="I311" s="1"/>
      <x:c r="J311" s="1"/>
      <x:c r="K311" s="1"/>
    </x:row>
    <x:row r="312" ht="22" customHeight="1">
      <x:c r="A312" s="13" t="inlineStr">
        <x:is>
          <x:t xml:space="preserve">2024/2025</x:t>
        </x:is>
      </x:c>
      <x:c r="B312" s="13" t="inlineStr">
        <x:is>
          <x:t xml:space="preserve">CDU/CSU</x:t>
        </x:is>
      </x:c>
      <x:c r="C312" s="13" t="inlineStr">
        <x:is>
          <x:t xml:space="preserve">Ökologie</x:t>
        </x:is>
      </x:c>
      <x:c r="D312" s="14">
        <x:v>1054</x:v>
      </x:c>
      <x:c r="E312" s="14">
        <x:v>160</x:v>
      </x:c>
      <x:c r="F312" s="14">
        <x:v>746</x:v>
      </x:c>
      <x:c r="G312" s="14">
        <x:v>151</x:v>
      </x:c>
      <x:c r="H312" s="31">
        <x:f>(G312/F312-E312/D312)*100</x:f>
        <x:v>5.061021208621821</x:v>
      </x:c>
      <x:c r="I312" s="1"/>
      <x:c r="J312" s="1"/>
      <x:c r="K312" s="1"/>
    </x:row>
    <x:row r="313" ht="22" customHeight="1">
      <x:c r="A313" s="15" t="inlineStr">
        <x:is>
          <x:t xml:space="preserve">2024/2025</x:t>
        </x:is>
      </x:c>
      <x:c r="B313" s="15" t="inlineStr">
        <x:is>
          <x:t xml:space="preserve">SPD</x:t>
        </x:is>
      </x:c>
      <x:c r="C313" s="15" t="inlineStr">
        <x:is>
          <x:t xml:space="preserve">Ökologie</x:t>
        </x:is>
      </x:c>
      <x:c r="D313" s="16">
        <x:v>1037</x:v>
      </x:c>
      <x:c r="E313" s="16">
        <x:v>210</x:v>
      </x:c>
      <x:c r="F313" s="16">
        <x:v>411</x:v>
      </x:c>
      <x:c r="G313" s="16">
        <x:v>131</x:v>
      </x:c>
      <x:c r="H313" s="32">
        <x:f>(G313/F313-E313/D313)*100</x:f>
        <x:v>11.622756078619076</x:v>
      </x:c>
      <x:c r="I313" s="1"/>
      <x:c r="J313" s="1"/>
      <x:c r="K313" s="1"/>
    </x:row>
    <x:row r="314" ht="22" customHeight="1">
      <x:c r="A314" s="13" t="inlineStr">
        <x:is>
          <x:t xml:space="preserve">2024/2025</x:t>
        </x:is>
      </x:c>
      <x:c r="B314" s="13" t="inlineStr">
        <x:is>
          <x:t xml:space="preserve">Grüne</x:t>
        </x:is>
      </x:c>
      <x:c r="C314" s="13" t="inlineStr">
        <x:is>
          <x:t xml:space="preserve">Ökologie</x:t>
        </x:is>
      </x:c>
      <x:c r="D314" s="14">
        <x:v>716</x:v>
      </x:c>
      <x:c r="E314" s="14">
        <x:v>173</x:v>
      </x:c>
      <x:c r="F314" s="14">
        <x:v>358</x:v>
      </x:c>
      <x:c r="G314" s="14">
        <x:v>115</x:v>
      </x:c>
      <x:c r="H314" s="31">
        <x:f>(G314/F314-E314/D314)*100</x:f>
        <x:v>7.960893854748605</x:v>
      </x:c>
      <x:c r="I314" s="1"/>
      <x:c r="J314" s="1"/>
      <x:c r="K314" s="1"/>
    </x:row>
    <x:row r="315" ht="22" customHeight="1">
      <x:c r="A315" s="15" t="inlineStr">
        <x:is>
          <x:t xml:space="preserve">2024/2025</x:t>
        </x:is>
      </x:c>
      <x:c r="B315" s="15" t="inlineStr">
        <x:is>
          <x:t xml:space="preserve">FDP</x:t>
        </x:is>
      </x:c>
      <x:c r="C315" s="15" t="inlineStr">
        <x:is>
          <x:t xml:space="preserve">Ökologie</x:t>
        </x:is>
      </x:c>
      <x:c r="D315" s="16">
        <x:v>438</x:v>
      </x:c>
      <x:c r="E315" s="16">
        <x:v>66</x:v>
      </x:c>
      <x:c r="F315" s="16">
        <x:v>3</x:v>
      </x:c>
      <x:c r="G315" s="16">
        <x:v>0</x:v>
      </x:c>
      <x:c r="H315" s="32" t="inlineStr">
        <x:is>
          <x:t xml:space="preserve">n.a.¹</x:t>
        </x:is>
      </x:c>
      <x:c r="I315" s="1"/>
      <x:c r="J315" s="1"/>
      <x:c r="K315" s="1"/>
    </x:row>
    <x:row r="316" ht="22" customHeight="1">
      <x:c r="A316" s="13" t="inlineStr">
        <x:is>
          <x:t xml:space="preserve">2024/2025</x:t>
        </x:is>
      </x:c>
      <x:c r="B316" s="13" t="inlineStr">
        <x:is>
          <x:t xml:space="preserve">AfD</x:t>
        </x:is>
      </x:c>
      <x:c r="C316" s="13" t="inlineStr">
        <x:is>
          <x:t xml:space="preserve">Ökologie</x:t>
        </x:is>
      </x:c>
      <x:c r="D316" s="14">
        <x:v>529</x:v>
      </x:c>
      <x:c r="E316" s="14">
        <x:v>50</x:v>
      </x:c>
      <x:c r="F316" s="14">
        <x:v>511</x:v>
      </x:c>
      <x:c r="G316" s="14">
        <x:v>88</x:v>
      </x:c>
      <x:c r="H316" s="31">
        <x:f>(G316/F316-E316/D316)*100</x:f>
        <x:v>7.769339188144377</x:v>
      </x:c>
      <x:c r="I316" s="1"/>
      <x:c r="J316" s="1"/>
      <x:c r="K316" s="1"/>
    </x:row>
    <x:row r="317" ht="22" customHeight="1">
      <x:c r="A317" s="15" t="inlineStr">
        <x:is>
          <x:t xml:space="preserve">2024/2025</x:t>
        </x:is>
      </x:c>
      <x:c r="B317" s="15" t="inlineStr">
        <x:is>
          <x:t xml:space="preserve">Die Linke</x:t>
        </x:is>
      </x:c>
      <x:c r="C317" s="15" t="inlineStr">
        <x:is>
          <x:t xml:space="preserve">Ökologie</x:t>
        </x:is>
      </x:c>
      <x:c r="D317" s="16">
        <x:v>132</x:v>
      </x:c>
      <x:c r="E317" s="16">
        <x:v>29</x:v>
      </x:c>
      <x:c r="F317" s="16">
        <x:v>246</x:v>
      </x:c>
      <x:c r="G317" s="16">
        <x:v>57</x:v>
      </x:c>
      <x:c r="H317" s="32">
        <x:f>(G317/F317-E317/D317)*100</x:f>
        <x:v>1.2010347376201047</x:v>
      </x:c>
      <x:c r="I317" s="1"/>
      <x:c r="J317" s="1"/>
      <x:c r="K317" s="1"/>
    </x:row>
    <x:row r="318" ht="22" customHeight="1">
      <x:c r="A318" s="13" t="inlineStr">
        <x:is>
          <x:t xml:space="preserve">2024/2025</x:t>
        </x:is>
      </x:c>
      <x:c r="B318" s="13" t="inlineStr">
        <x:is>
          <x:t xml:space="preserve">CDU/CSU</x:t>
        </x:is>
      </x:c>
      <x:c r="C318" s="13" t="inlineStr">
        <x:is>
          <x:t xml:space="preserve">Ökonomie</x:t>
        </x:is>
      </x:c>
      <x:c r="D318" s="14">
        <x:v>1054</x:v>
      </x:c>
      <x:c r="E318" s="14">
        <x:v>374</x:v>
      </x:c>
      <x:c r="F318" s="14">
        <x:v>746</x:v>
      </x:c>
      <x:c r="G318" s="14">
        <x:v>218</x:v>
      </x:c>
      <x:c r="H318" s="31">
        <x:f>(G318/F318-E318/D318)*100</x:f>
        <x:v>-6.261350860503335</x:v>
      </x:c>
      <x:c r="I318" s="1"/>
      <x:c r="J318" s="1"/>
      <x:c r="K318" s="1"/>
    </x:row>
    <x:row r="319" ht="22" customHeight="1">
      <x:c r="A319" s="15" t="inlineStr">
        <x:is>
          <x:t xml:space="preserve">2024/2025</x:t>
        </x:is>
      </x:c>
      <x:c r="B319" s="15" t="inlineStr">
        <x:is>
          <x:t xml:space="preserve">SPD</x:t>
        </x:is>
      </x:c>
      <x:c r="C319" s="15" t="inlineStr">
        <x:is>
          <x:t xml:space="preserve">Ökonomie</x:t>
        </x:is>
      </x:c>
      <x:c r="D319" s="16">
        <x:v>1037</x:v>
      </x:c>
      <x:c r="E319" s="16">
        <x:v>256</x:v>
      </x:c>
      <x:c r="F319" s="16">
        <x:v>411</x:v>
      </x:c>
      <x:c r="G319" s="16">
        <x:v>98</x:v>
      </x:c>
      <x:c r="H319" s="32">
        <x:f>(G319/F319-E319/D319)*100</x:f>
        <x:v>-0.8423137114125318</x:v>
      </x:c>
      <x:c r="I319" s="1"/>
      <x:c r="J319" s="1"/>
      <x:c r="K319" s="1"/>
    </x:row>
    <x:row r="320" ht="22" customHeight="1">
      <x:c r="A320" s="13" t="inlineStr">
        <x:is>
          <x:t xml:space="preserve">2024/2025</x:t>
        </x:is>
      </x:c>
      <x:c r="B320" s="13" t="inlineStr">
        <x:is>
          <x:t xml:space="preserve">Grüne</x:t>
        </x:is>
      </x:c>
      <x:c r="C320" s="13" t="inlineStr">
        <x:is>
          <x:t xml:space="preserve">Ökonomie</x:t>
        </x:is>
      </x:c>
      <x:c r="D320" s="14">
        <x:v>716</x:v>
      </x:c>
      <x:c r="E320" s="14">
        <x:v>200</x:v>
      </x:c>
      <x:c r="F320" s="14">
        <x:v>358</x:v>
      </x:c>
      <x:c r="G320" s="14">
        <x:v>79</x:v>
      </x:c>
      <x:c r="H320" s="31">
        <x:f>(G320/F320-E320/D320)*100</x:f>
        <x:v>-5.865921787709497</x:v>
      </x:c>
      <x:c r="I320" s="1"/>
      <x:c r="J320" s="1"/>
      <x:c r="K320" s="1"/>
    </x:row>
    <x:row r="321" ht="22" customHeight="1">
      <x:c r="A321" s="15" t="inlineStr">
        <x:is>
          <x:t xml:space="preserve">2024/2025</x:t>
        </x:is>
      </x:c>
      <x:c r="B321" s="15" t="inlineStr">
        <x:is>
          <x:t xml:space="preserve">FDP</x:t>
        </x:is>
      </x:c>
      <x:c r="C321" s="15" t="inlineStr">
        <x:is>
          <x:t xml:space="preserve">Ökonomie</x:t>
        </x:is>
      </x:c>
      <x:c r="D321" s="16">
        <x:v>438</x:v>
      </x:c>
      <x:c r="E321" s="16">
        <x:v>131</x:v>
      </x:c>
      <x:c r="F321" s="16">
        <x:v>3</x:v>
      </x:c>
      <x:c r="G321" s="16">
        <x:v>3</x:v>
      </x:c>
      <x:c r="H321" s="32" t="inlineStr">
        <x:is>
          <x:t xml:space="preserve">n.a.¹</x:t>
        </x:is>
      </x:c>
      <x:c r="I321" s="1"/>
      <x:c r="J321" s="1"/>
      <x:c r="K321" s="1"/>
    </x:row>
    <x:row r="322" ht="22" customHeight="1">
      <x:c r="A322" s="13" t="inlineStr">
        <x:is>
          <x:t xml:space="preserve">2024/2025</x:t>
        </x:is>
      </x:c>
      <x:c r="B322" s="13" t="inlineStr">
        <x:is>
          <x:t xml:space="preserve">AfD</x:t>
        </x:is>
      </x:c>
      <x:c r="C322" s="13" t="inlineStr">
        <x:is>
          <x:t xml:space="preserve">Ökonomie</x:t>
        </x:is>
      </x:c>
      <x:c r="D322" s="14">
        <x:v>529</x:v>
      </x:c>
      <x:c r="E322" s="14">
        <x:v>177</x:v>
      </x:c>
      <x:c r="F322" s="14">
        <x:v>511</x:v>
      </x:c>
      <x:c r="G322" s="14">
        <x:v>179</x:v>
      </x:c>
      <x:c r="H322" s="31">
        <x:f>(G322/F322-E322/D322)*100</x:f>
        <x:v>1.569996929553602</x:v>
      </x:c>
      <x:c r="I322" s="1"/>
      <x:c r="J322" s="1"/>
      <x:c r="K322" s="1"/>
    </x:row>
    <x:row r="323" ht="22" customHeight="1">
      <x:c r="A323" s="15" t="inlineStr">
        <x:is>
          <x:t xml:space="preserve">2024/2025</x:t>
        </x:is>
      </x:c>
      <x:c r="B323" s="15" t="inlineStr">
        <x:is>
          <x:t xml:space="preserve">Die Linke</x:t>
        </x:is>
      </x:c>
      <x:c r="C323" s="15" t="inlineStr">
        <x:is>
          <x:t xml:space="preserve">Ökonomie</x:t>
        </x:is>
      </x:c>
      <x:c r="D323" s="16">
        <x:v>132</x:v>
      </x:c>
      <x:c r="E323" s="16">
        <x:v>58</x:v>
      </x:c>
      <x:c r="F323" s="16">
        <x:v>246</x:v>
      </x:c>
      <x:c r="G323" s="16">
        <x:v>98</x:v>
      </x:c>
      <x:c r="H323" s="32">
        <x:f>(G323/F323-E323/D323)*100</x:f>
        <x:v>-4.101995565410199</x:v>
      </x:c>
      <x:c r="I323" s="1"/>
      <x:c r="J323" s="1"/>
      <x:c r="K323" s="1"/>
    </x:row>
    <x:row r="324" ht="22" customHeight="1">
      <x:c r="A324" s="13" t="inlineStr">
        <x:is>
          <x:t xml:space="preserve">2024/2025</x:t>
        </x:is>
      </x:c>
      <x:c r="B324" s="13" t="inlineStr">
        <x:is>
          <x:t xml:space="preserve">CDU/CSU</x:t>
        </x:is>
      </x:c>
      <x:c r="C324" s="13" t="inlineStr">
        <x:is>
          <x:t xml:space="preserve">S&amp;R</x:t>
        </x:is>
      </x:c>
      <x:c r="D324" s="14">
        <x:v>1054</x:v>
      </x:c>
      <x:c r="E324" s="14">
        <x:v>15</x:v>
      </x:c>
      <x:c r="F324" s="14">
        <x:v>746</x:v>
      </x:c>
      <x:c r="G324" s="14">
        <x:v>35</x:v>
      </x:c>
      <x:c r="H324" s="31">
        <x:f>(G324/F324-E324/D324)*100</x:f>
        <x:v>3.2685391029195556</x:v>
      </x:c>
      <x:c r="I324" s="1"/>
      <x:c r="J324" s="1"/>
      <x:c r="K324" s="1"/>
    </x:row>
    <x:row r="325" ht="22" customHeight="1">
      <x:c r="A325" s="15" t="inlineStr">
        <x:is>
          <x:t xml:space="preserve">2024/2025</x:t>
        </x:is>
      </x:c>
      <x:c r="B325" s="15" t="inlineStr">
        <x:is>
          <x:t xml:space="preserve">SPD</x:t>
        </x:is>
      </x:c>
      <x:c r="C325" s="15" t="inlineStr">
        <x:is>
          <x:t xml:space="preserve">S&amp;R</x:t>
        </x:is>
      </x:c>
      <x:c r="D325" s="16">
        <x:v>1037</x:v>
      </x:c>
      <x:c r="E325" s="16">
        <x:v>26</x:v>
      </x:c>
      <x:c r="F325" s="16">
        <x:v>411</x:v>
      </x:c>
      <x:c r="G325" s="16">
        <x:v>17</x:v>
      </x:c>
      <x:c r="H325" s="32">
        <x:f>(G325/F325-E325/D325)*100</x:f>
        <x:v>1.6290206402053462</x:v>
      </x:c>
      <x:c r="I325" s="1"/>
      <x:c r="J325" s="1"/>
      <x:c r="K325" s="1"/>
    </x:row>
    <x:row r="326" ht="22" customHeight="1">
      <x:c r="A326" s="13" t="inlineStr">
        <x:is>
          <x:t xml:space="preserve">2024/2025</x:t>
        </x:is>
      </x:c>
      <x:c r="B326" s="13" t="inlineStr">
        <x:is>
          <x:t xml:space="preserve">Grüne</x:t>
        </x:is>
      </x:c>
      <x:c r="C326" s="13" t="inlineStr">
        <x:is>
          <x:t xml:space="preserve">S&amp;R</x:t>
        </x:is>
      </x:c>
      <x:c r="D326" s="14">
        <x:v>716</x:v>
      </x:c>
      <x:c r="E326" s="14">
        <x:v>27</x:v>
      </x:c>
      <x:c r="F326" s="14">
        <x:v>358</x:v>
      </x:c>
      <x:c r="G326" s="14">
        <x:v>15</x:v>
      </x:c>
      <x:c r="H326" s="31">
        <x:f>(G326/F326-E326/D326)*100</x:f>
        <x:v>0.4189944134078208</x:v>
      </x:c>
      <x:c r="I326" s="1"/>
      <x:c r="J326" s="1"/>
      <x:c r="K326" s="1"/>
    </x:row>
    <x:row r="327" ht="22" customHeight="1">
      <x:c r="A327" s="15" t="inlineStr">
        <x:is>
          <x:t xml:space="preserve">2024/2025</x:t>
        </x:is>
      </x:c>
      <x:c r="B327" s="15" t="inlineStr">
        <x:is>
          <x:t xml:space="preserve">FDP</x:t>
        </x:is>
      </x:c>
      <x:c r="C327" s="15" t="inlineStr">
        <x:is>
          <x:t xml:space="preserve">S&amp;R</x:t>
        </x:is>
      </x:c>
      <x:c r="D327" s="16">
        <x:v>438</x:v>
      </x:c>
      <x:c r="E327" s="16">
        <x:v>8</x:v>
      </x:c>
      <x:c r="F327" s="16">
        <x:v>3</x:v>
      </x:c>
      <x:c r="G327" s="16">
        <x:v>0</x:v>
      </x:c>
      <x:c r="H327" s="32" t="inlineStr">
        <x:is>
          <x:t xml:space="preserve">n.a.¹</x:t>
        </x:is>
      </x:c>
      <x:c r="I327" s="1"/>
      <x:c r="J327" s="1"/>
      <x:c r="K327" s="1"/>
    </x:row>
    <x:row r="328" ht="22" customHeight="1">
      <x:c r="A328" s="13" t="inlineStr">
        <x:is>
          <x:t xml:space="preserve">2024/2025</x:t>
        </x:is>
      </x:c>
      <x:c r="B328" s="13" t="inlineStr">
        <x:is>
          <x:t xml:space="preserve">AfD</x:t>
        </x:is>
      </x:c>
      <x:c r="C328" s="13" t="inlineStr">
        <x:is>
          <x:t xml:space="preserve">S&amp;R</x:t>
        </x:is>
      </x:c>
      <x:c r="D328" s="14">
        <x:v>529</x:v>
      </x:c>
      <x:c r="E328" s="14">
        <x:v>16</x:v>
      </x:c>
      <x:c r="F328" s="14">
        <x:v>511</x:v>
      </x:c>
      <x:c r="G328" s="14">
        <x:v>25</x:v>
      </x:c>
      <x:c r="H328" s="31">
        <x:f>(G328/F328-E328/D328)*100</x:f>
        <x:v>1.8677932368793904</x:v>
      </x:c>
      <x:c r="I328" s="1"/>
      <x:c r="J328" s="1"/>
      <x:c r="K328" s="1"/>
    </x:row>
    <x:row r="329" ht="22" customHeight="1">
      <x:c r="A329" s="34" t="inlineStr">
        <x:is>
          <x:t xml:space="preserve">2024/2025</x:t>
        </x:is>
      </x:c>
      <x:c r="B329" s="34" t="inlineStr">
        <x:is>
          <x:t xml:space="preserve">Die Linke</x:t>
        </x:is>
      </x:c>
      <x:c r="C329" s="34" t="inlineStr">
        <x:is>
          <x:t xml:space="preserve">S&amp;R</x:t>
        </x:is>
      </x:c>
      <x:c r="D329" s="35">
        <x:v>132</x:v>
      </x:c>
      <x:c r="E329" s="35">
        <x:v>0</x:v>
      </x:c>
      <x:c r="F329" s="35">
        <x:v>246</x:v>
      </x:c>
      <x:c r="G329" s="35">
        <x:v>10</x:v>
      </x:c>
      <x:c r="H329" s="41">
        <x:f>(G329/F329-E329/D329)*100</x:f>
        <x:v>4.0650406504065035</x:v>
      </x:c>
      <x:c r="I329" s="1"/>
      <x:c r="J329" s="1"/>
      <x:c r="K329" s="1"/>
    </x:row>
    <x:row r="330" ht="22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</x:row>
    <x:row r="331" ht="22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</x:row>
  </x:sheetData>
  <x:pageMargins left="0.7" right="0.7" top="0.75" bottom="0.75" header="0.3" footer="0.3"/>
  <x:tableParts count="4">
    <x:tablePart r:id="R7f229e01dc144bbd"/>
    <x:tablePart r:id="R87965f2b26c54c46"/>
    <x:tablePart r:id="R8206c8ef009d4bc1"/>
    <x:tablePart r:id="R61fafc2482284156"/>
  </x:tableParts>
</x:worksheet>
</file>

<file path=xl/worksheets/sheet5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24" hidden="0" customWidth="1"/>
    <x:col min="4" max="4" width="18" hidden="0" customWidth="1"/>
    <x:col min="5" max="5" width="24" hidden="0" customWidth="1"/>
    <x:col min="6" max="6" width="24" hidden="0" customWidth="1"/>
    <x:col min="7" max="7" width="18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Abdeckung und Mehrfachzuordnungen</x:v>
      </x:c>
      <x:c r="B2" s="3"/>
      <x:c r="C2" s="3"/>
      <x:c r="D2" s="3"/>
      <x:c r="E2" s="3"/>
      <x:c r="F2" s="3"/>
      <x:c r="G2" s="3"/>
    </x:row>
    <x:row r="3">
      <x:c r="A3" s="4" t="str">
        <x:v>Wie viele A&amp;E-Sätze tragen mindestens eine oder mehrere Themenzuordnungen?</x:v>
      </x:c>
      <x:c r="B3" s="1"/>
      <x:c r="C3" s="1"/>
      <x:c r="D3" s="1"/>
      <x:c r="E3" s="1"/>
      <x:c r="F3" s="1"/>
      <x:c r="G3" s="1"/>
    </x:row>
    <x:row r="4">
      <x:c r="A4" s="4" t="str">
        <x:v>Anteile beziehen sich jeweils auf alle A&amp;E-Sätze desselben Jahres oder des Gesamtzeitraums.</x:v>
      </x:c>
      <x:c r="B4" s="1"/>
      <x:c r="C4" s="1"/>
      <x:c r="D4" s="1"/>
      <x:c r="E4" s="1"/>
      <x:c r="F4" s="1"/>
      <x:c r="G4" s="1"/>
    </x:row>
    <x:row r="8" ht="62" customHeight="1">
      <x:c r="A8" s="96" t="str">
        <x:v>Jahr</x:v>
      </x:c>
      <x:c r="B8" s="97" t="str">
        <x:v>A&amp;E-Sätze</x:v>
      </x:c>
      <x:c r="C8" s="97" t="str">
        <x:v>Mindestens ein Themenbereich</x:v>
      </x:c>
      <x:c r="D8" s="97" t="str">
        <x:v>Anteil an A&amp;E</x:v>
      </x:c>
      <x:c r="E8" s="97" t="str">
        <x:v>Kein Themenbereich</x:v>
      </x:c>
      <x:c r="F8" s="97" t="str">
        <x:v>Mehrere Themenbereiche</x:v>
      </x:c>
      <x:c r="G8" s="97" t="str">
        <x:v>Anteil an A&amp;E</x:v>
      </x:c>
    </x:row>
    <x:row r="9" ht="25" customHeight="1">
      <x:c r="A9" s="98" t="n">
        <x:v>2018</x:v>
      </x:c>
      <x:c r="B9" s="14">
        <x:v>3254</x:v>
      </x:c>
      <x:c r="C9" s="14">
        <x:v>1417</x:v>
      </x:c>
      <x:c r="D9" s="22">
        <x:f>C9/B9</x:f>
        <x:v>0.4354640442532268</x:v>
      </x:c>
      <x:c r="E9" s="14">
        <x:f>B9-C9</x:f>
        <x:v>1837</x:v>
      </x:c>
      <x:c r="F9" s="14">
        <x:v>144</x:v>
      </x:c>
      <x:c r="G9" s="22">
        <x:f>F9/B9</x:f>
        <x:v>0.044253226797787336</x:v>
      </x:c>
    </x:row>
    <x:row r="10" ht="25" customHeight="1">
      <x:c r="A10" s="99" t="n">
        <x:v>2019</x:v>
      </x:c>
      <x:c r="B10" s="16">
        <x:v>2800</x:v>
      </x:c>
      <x:c r="C10" s="16">
        <x:v>1187</x:v>
      </x:c>
      <x:c r="D10" s="25">
        <x:f>C10/B10</x:f>
        <x:v>0.42392857142857143</x:v>
      </x:c>
      <x:c r="E10" s="16">
        <x:f>B10-C10</x:f>
        <x:v>1613</x:v>
      </x:c>
      <x:c r="F10" s="16">
        <x:v>146</x:v>
      </x:c>
      <x:c r="G10" s="25">
        <x:f>F10/B10</x:f>
        <x:v>0.052142857142857144</x:v>
      </x:c>
    </x:row>
    <x:row r="11" ht="25" customHeight="1">
      <x:c r="A11" s="98" t="n">
        <x:v>2020</x:v>
      </x:c>
      <x:c r="B11" s="14">
        <x:v>3133</x:v>
      </x:c>
      <x:c r="C11" s="14">
        <x:v>1181</x:v>
      </x:c>
      <x:c r="D11" s="22">
        <x:f>C11/B11</x:f>
        <x:v>0.3769549952122566</x:v>
      </x:c>
      <x:c r="E11" s="14">
        <x:f>B11-C11</x:f>
        <x:v>1952</x:v>
      </x:c>
      <x:c r="F11" s="14">
        <x:v>153</x:v>
      </x:c>
      <x:c r="G11" s="22">
        <x:f>F11/B11</x:f>
        <x:v>0.04883498244494095</x:v>
      </x:c>
    </x:row>
    <x:row r="12" ht="25" customHeight="1">
      <x:c r="A12" s="99" t="n">
        <x:v>2021</x:v>
      </x:c>
      <x:c r="B12" s="16">
        <x:v>2320</x:v>
      </x:c>
      <x:c r="C12" s="16">
        <x:v>1207</x:v>
      </x:c>
      <x:c r="D12" s="25">
        <x:f>C12/B12</x:f>
        <x:v>0.5202586206896552</x:v>
      </x:c>
      <x:c r="E12" s="16">
        <x:f>B12-C12</x:f>
        <x:v>1113</x:v>
      </x:c>
      <x:c r="F12" s="16">
        <x:v>164</x:v>
      </x:c>
      <x:c r="G12" s="25">
        <x:f>F12/B12</x:f>
        <x:v>0.0706896551724138</x:v>
      </x:c>
    </x:row>
    <x:row r="13" ht="25" customHeight="1">
      <x:c r="A13" s="98" t="n">
        <x:v>2022</x:v>
      </x:c>
      <x:c r="B13" s="14">
        <x:v>4018</x:v>
      </x:c>
      <x:c r="C13" s="14">
        <x:v>2154</x:v>
      </x:c>
      <x:c r="D13" s="22">
        <x:f>C13/B13</x:f>
        <x:v>0.5360876057740169</x:v>
      </x:c>
      <x:c r="E13" s="14">
        <x:f>B13-C13</x:f>
        <x:v>1864</x:v>
      </x:c>
      <x:c r="F13" s="14">
        <x:v>343</x:v>
      </x:c>
      <x:c r="G13" s="22">
        <x:f>F13/B13</x:f>
        <x:v>0.08536585365853659</x:v>
      </x:c>
    </x:row>
    <x:row r="14" ht="25" customHeight="1">
      <x:c r="A14" s="99" t="n">
        <x:v>2023</x:v>
      </x:c>
      <x:c r="B14" s="16">
        <x:v>3417</x:v>
      </x:c>
      <x:c r="C14" s="16">
        <x:v>1650</x:v>
      </x:c>
      <x:c r="D14" s="25">
        <x:f>C14/B14</x:f>
        <x:v>0.4828797190517998</x:v>
      </x:c>
      <x:c r="E14" s="16">
        <x:f>B14-C14</x:f>
        <x:v>1767</x:v>
      </x:c>
      <x:c r="F14" s="16">
        <x:v>231</x:v>
      </x:c>
      <x:c r="G14" s="25">
        <x:f>F14/B14</x:f>
        <x:v>0.06760316066725197</x:v>
      </x:c>
    </x:row>
    <x:row r="15" ht="25" customHeight="1">
      <x:c r="A15" s="98" t="n">
        <x:v>2024</x:v>
      </x:c>
      <x:c r="B15" s="14">
        <x:v>4026</x:v>
      </x:c>
      <x:c r="C15" s="14">
        <x:v>1795</x:v>
      </x:c>
      <x:c r="D15" s="22">
        <x:f>C15/B15</x:f>
        <x:v>0.44585196224540485</x:v>
      </x:c>
      <x:c r="E15" s="14">
        <x:f>B15-C15</x:f>
        <x:v>2231</x:v>
      </x:c>
      <x:c r="F15" s="14">
        <x:v>242</x:v>
      </x:c>
      <x:c r="G15" s="22">
        <x:f>F15/B15</x:f>
        <x:v>0.060109289617486336</x:v>
      </x:c>
    </x:row>
    <x:row r="16" ht="25" customHeight="1">
      <x:c r="A16" s="99" t="n">
        <x:v>2025</x:v>
      </x:c>
      <x:c r="B16" s="16">
        <x:v>2279</x:v>
      </x:c>
      <x:c r="C16" s="16">
        <x:v>1155</x:v>
      </x:c>
      <x:c r="D16" s="25">
        <x:f>C16/B16</x:f>
        <x:v>0.5068012286090391</x:v>
      </x:c>
      <x:c r="E16" s="16">
        <x:f>B16-C16</x:f>
        <x:v>1124</x:v>
      </x:c>
      <x:c r="F16" s="16">
        <x:v>158</x:v>
      </x:c>
      <x:c r="G16" s="25">
        <x:f>F16/B16</x:f>
        <x:v>0.06932865291794647</x:v>
      </x:c>
    </x:row>
    <x:row r="17" ht="25" customHeight="1">
      <x:c r="A17" s="100" t="inlineStr">
        <x:is>
          <x:t xml:space="preserve">Gesamt</x:t>
        </x:is>
      </x:c>
      <x:c r="B17" s="28">
        <x:v>25247</x:v>
      </x:c>
      <x:c r="C17" s="28">
        <x:v>11746</x:v>
      </x:c>
      <x:c r="D17" s="29">
        <x:f>C17/B17</x:f>
        <x:v>0.4652433952548818</x:v>
      </x:c>
      <x:c r="E17" s="28">
        <x:f>B17-C17</x:f>
        <x:v>13501</x:v>
      </x:c>
      <x:c r="F17" s="28">
        <x:v>1581</x:v>
      </x:c>
      <x:c r="G17" s="29">
        <x:f>F17/B17</x:f>
        <x:v>0.06262130154077712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.109999656677246" hidden="0" customWidth="1"/>
    <x:col min="2" max="2" width="13.89000034332275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10" customHeight="1">
      <x:c r="A1" s="42"/>
      <x:c r="B1" s="42"/>
      <x:c r="C1" s="42"/>
      <x:c r="D1" s="42"/>
      <x:c r="E1" s="42"/>
      <x:c r="F1" s="42"/>
      <x:c r="G1" s="42"/>
      <x:c r="H1" s="42"/>
      <x:c r="I1" s="43"/>
      <x:c r="J1" s="43"/>
    </x:row>
    <x:row r="2" ht="31" customHeight="1">
      <x:c r="A2" s="44" t="inlineStr">
        <x:is>
          <x:t xml:space="preserve">Preise und Kosten, Agrardiesel und Ernährungssicherheit</x:t>
        </x:is>
      </x:c>
      <x:c r="B2" s="45"/>
      <x:c r="C2" s="45"/>
      <x:c r="D2" s="45"/>
      <x:c r="E2" s="45"/>
      <x:c r="F2" s="45"/>
      <x:c r="G2" s="45"/>
      <x:c r="H2" s="45"/>
      <x:c r="I2" s="43"/>
      <x:c r="J2" s="43"/>
    </x:row>
    <x:row r="3" ht="24" customHeight="1">
      <x:c r="A3" s="46" t="inlineStr">
        <x:is>
          <x:t xml:space="preserve">Satzanzahl und Anteil an allen A&amp;E-Sätzen desselben Jahres</x:t>
        </x:is>
      </x:c>
      <x:c r="B3" s="42"/>
      <x:c r="C3" s="42"/>
      <x:c r="D3" s="42"/>
      <x:c r="E3" s="42"/>
      <x:c r="F3" s="42"/>
      <x:c r="G3" s="42"/>
      <x:c r="H3" s="42"/>
      <x:c r="I3" s="43"/>
      <x:c r="J3" s="43"/>
    </x:row>
    <x:row r="4" ht="24" customHeight="1">
      <x:c r="A4" s="42"/>
      <x:c r="B4" s="42"/>
      <x:c r="C4" s="42"/>
      <x:c r="D4" s="42"/>
      <x:c r="E4" s="42"/>
      <x:c r="F4" s="42"/>
      <x:c r="G4" s="42"/>
      <x:c r="H4" s="42"/>
      <x:c r="I4" s="43"/>
      <x:c r="J4" s="43"/>
    </x:row>
    <x:row r="5" ht="58" customHeight="1">
      <x:c r="A5" s="47" t="inlineStr">
        <x:is>
          <x:t xml:space="preserve">Jahr</x:t>
        </x:is>
      </x:c>
      <x:c r="B5" s="48" t="inlineStr">
        <x:is>
          <x:t xml:space="preserve">A&amp;E
Sätze</x:t>
        </x:is>
      </x:c>
      <x:c r="C5" s="48" t="inlineStr">
        <x:is>
          <x:t xml:space="preserve">Preise und Kosten
Sätze</x:t>
        </x:is>
      </x:c>
      <x:c r="D5" s="48" t="inlineStr">
        <x:is>
          <x:t xml:space="preserve">Preise und Kosten
Anteil an A&amp;E</x:t>
        </x:is>
      </x:c>
      <x:c r="E5" s="48" t="inlineStr">
        <x:is>
          <x:t xml:space="preserve">Agrardiesel
Sätze</x:t>
        </x:is>
      </x:c>
      <x:c r="F5" s="48" t="inlineStr">
        <x:is>
          <x:t xml:space="preserve">Agrardiesel
Anteil an A&amp;E</x:t>
        </x:is>
      </x:c>
      <x:c r="G5" s="48" t="inlineStr">
        <x:is>
          <x:t xml:space="preserve">Ernährungssicherheit
Sätze</x:t>
        </x:is>
      </x:c>
      <x:c r="H5" s="49" t="inlineStr">
        <x:is>
          <x:t xml:space="preserve">Ernährungssicherheit
Anteil an A&amp;E</x:t>
        </x:is>
      </x:c>
      <x:c r="I5" s="50"/>
      <x:c r="J5" s="50"/>
    </x:row>
    <x:row r="6" ht="24" customHeight="1">
      <x:c r="A6" s="51" t="n">
        <x:v>2018</x:v>
      </x:c>
      <x:c r="B6" s="52">
        <x:f>'11_Berechnungsbasis'!C9</x:f>
        <x:v>3254</x:v>
      </x:c>
      <x:c r="C6" s="52">
        <x:f>'08_Kategorien'!E87</x:f>
        <x:v>96</x:v>
      </x:c>
      <x:c r="D6" s="53">
        <x:f>C6/B6</x:f>
        <x:v>0.02950215119852489</x:v>
      </x:c>
      <x:c r="E6" s="52">
        <x:f>'08_Kategorien'!E135</x:f>
        <x:v>0</x:v>
      </x:c>
      <x:c r="F6" s="53">
        <x:f>E6/B6</x:f>
        <x:v>0.0</x:v>
      </x:c>
      <x:c r="G6" s="52">
        <x:f>'08_Kategorien'!E143</x:f>
        <x:v>16</x:v>
      </x:c>
      <x:c r="H6" s="53">
        <x:f>G6/B6</x:f>
        <x:v>0.004917025199754148</x:v>
      </x:c>
      <x:c r="I6" s="43"/>
      <x:c r="J6" s="43"/>
    </x:row>
    <x:row r="7" ht="24" customHeight="1">
      <x:c r="A7" s="54" t="n">
        <x:v>2019</x:v>
      </x:c>
      <x:c r="B7" s="55">
        <x:f>'11_Berechnungsbasis'!C10</x:f>
        <x:v>2800</x:v>
      </x:c>
      <x:c r="C7" s="55">
        <x:f>'08_Kategorien'!E88</x:f>
        <x:v>79</x:v>
      </x:c>
      <x:c r="D7" s="56">
        <x:f>C7/B7</x:f>
        <x:v>0.028214285714285713</x:v>
      </x:c>
      <x:c r="E7" s="55">
        <x:f>'08_Kategorien'!E136</x:f>
        <x:v>2</x:v>
      </x:c>
      <x:c r="F7" s="56">
        <x:f>E7/B7</x:f>
        <x:v>0.0007142857142857143</x:v>
      </x:c>
      <x:c r="G7" s="55">
        <x:f>'08_Kategorien'!E144</x:f>
        <x:v>15</x:v>
      </x:c>
      <x:c r="H7" s="56">
        <x:f>G7/B7</x:f>
        <x:v>0.005357142857142857</x:v>
      </x:c>
      <x:c r="I7" s="43"/>
      <x:c r="J7" s="43"/>
    </x:row>
    <x:row r="8" ht="24" customHeight="1">
      <x:c r="A8" s="51" t="n">
        <x:v>2020</x:v>
      </x:c>
      <x:c r="B8" s="52">
        <x:f>'11_Berechnungsbasis'!C11</x:f>
        <x:v>3133</x:v>
      </x:c>
      <x:c r="C8" s="52">
        <x:f>'08_Kategorien'!E89</x:f>
        <x:v>123</x:v>
      </x:c>
      <x:c r="D8" s="53">
        <x:f>C8/B8</x:f>
        <x:v>0.03925949569103096</x:v>
      </x:c>
      <x:c r="E8" s="52">
        <x:f>'08_Kategorien'!E137</x:f>
        <x:v>0</x:v>
      </x:c>
      <x:c r="F8" s="53">
        <x:f>E8/B8</x:f>
        <x:v>0.0</x:v>
      </x:c>
      <x:c r="G8" s="52">
        <x:f>'08_Kategorien'!E145</x:f>
        <x:v>24</x:v>
      </x:c>
      <x:c r="H8" s="53">
        <x:f>G8/B8</x:f>
        <x:v>0.007660389403127992</x:v>
      </x:c>
      <x:c r="I8" s="43"/>
      <x:c r="J8" s="43"/>
    </x:row>
    <x:row r="9" ht="24" customHeight="1">
      <x:c r="A9" s="54" t="n">
        <x:v>2021</x:v>
      </x:c>
      <x:c r="B9" s="55">
        <x:f>'11_Berechnungsbasis'!C12</x:f>
        <x:v>2320</x:v>
      </x:c>
      <x:c r="C9" s="55">
        <x:f>'08_Kategorien'!E90</x:f>
        <x:v>88</x:v>
      </x:c>
      <x:c r="D9" s="56">
        <x:f>C9/B9</x:f>
        <x:v>0.03793103448275862</x:v>
      </x:c>
      <x:c r="E9" s="55">
        <x:f>'08_Kategorien'!E138</x:f>
        <x:v>3</x:v>
      </x:c>
      <x:c r="F9" s="56">
        <x:f>E9/B9</x:f>
        <x:v>0.001293103448275862</x:v>
      </x:c>
      <x:c r="G9" s="55">
        <x:f>'08_Kategorien'!E146</x:f>
        <x:v>23</x:v>
      </x:c>
      <x:c r="H9" s="56">
        <x:f>G9/B9</x:f>
        <x:v>0.009913793103448277</x:v>
      </x:c>
      <x:c r="I9" s="43"/>
      <x:c r="J9" s="43"/>
    </x:row>
    <x:row r="10" ht="24" customHeight="1">
      <x:c r="A10" s="51" t="n">
        <x:v>2022</x:v>
      </x:c>
      <x:c r="B10" s="52">
        <x:f>'11_Berechnungsbasis'!C13</x:f>
        <x:v>4018</x:v>
      </x:c>
      <x:c r="C10" s="52">
        <x:f>'08_Kategorien'!E91</x:f>
        <x:v>544</x:v>
      </x:c>
      <x:c r="D10" s="53">
        <x:f>C10/B10</x:f>
        <x:v>0.13539074166251866</x:v>
      </x:c>
      <x:c r="E10" s="52">
        <x:f>'08_Kategorien'!E139</x:f>
        <x:v>10</x:v>
      </x:c>
      <x:c r="F10" s="53">
        <x:f>E10/B10</x:f>
        <x:v>0.0024888003982080635</x:v>
      </x:c>
      <x:c r="G10" s="52">
        <x:f>'08_Kategorien'!E147</x:f>
        <x:v>167</x:v>
      </x:c>
      <x:c r="H10" s="53">
        <x:f>G10/B10</x:f>
        <x:v>0.04156296665007466</x:v>
      </x:c>
      <x:c r="I10" s="43"/>
      <x:c r="J10" s="43"/>
    </x:row>
    <x:row r="11" ht="24" customHeight="1">
      <x:c r="A11" s="54" t="n">
        <x:v>2023</x:v>
      </x:c>
      <x:c r="B11" s="55">
        <x:f>'11_Berechnungsbasis'!C14</x:f>
        <x:v>3417</x:v>
      </x:c>
      <x:c r="C11" s="55">
        <x:f>'08_Kategorien'!E92</x:f>
        <x:v>277</x:v>
      </x:c>
      <x:c r="D11" s="56">
        <x:f>C11/B11</x:f>
        <x:v>0.0810652619256658</x:v>
      </x:c>
      <x:c r="E11" s="55">
        <x:f>'08_Kategorien'!E140</x:f>
        <x:v>15</x:v>
      </x:c>
      <x:c r="F11" s="56">
        <x:f>E11/B11</x:f>
        <x:v>0.004389815627743635</x:v>
      </x:c>
      <x:c r="G11" s="55">
        <x:f>'08_Kategorien'!E148</x:f>
        <x:v>94</x:v>
      </x:c>
      <x:c r="H11" s="56">
        <x:f>G11/B11</x:f>
        <x:v>0.027509511267193445</x:v>
      </x:c>
      <x:c r="I11" s="43"/>
      <x:c r="J11" s="43"/>
    </x:row>
    <x:row r="12" ht="24" customHeight="1">
      <x:c r="A12" s="51" t="n">
        <x:v>2024</x:v>
      </x:c>
      <x:c r="B12" s="52">
        <x:f>'11_Berechnungsbasis'!C15</x:f>
        <x:v>4026</x:v>
      </x:c>
      <x:c r="C12" s="52">
        <x:f>'08_Kategorien'!E93</x:f>
        <x:v>199</x:v>
      </x:c>
      <x:c r="D12" s="53">
        <x:f>C12/B12</x:f>
        <x:v>0.049428713363139594</x:v>
      </x:c>
      <x:c r="E12" s="52">
        <x:f>'08_Kategorien'!E141</x:f>
        <x:v>348</x:v>
      </x:c>
      <x:c r="F12" s="53">
        <x:f>E12/B12</x:f>
        <x:v>0.08643815201192251</x:v>
      </x:c>
      <x:c r="G12" s="52">
        <x:f>'08_Kategorien'!E149</x:f>
        <x:v>46</x:v>
      </x:c>
      <x:c r="H12" s="53">
        <x:f>G12/B12</x:f>
        <x:v>0.011425732737208148</x:v>
      </x:c>
      <x:c r="I12" s="43"/>
      <x:c r="J12" s="43"/>
    </x:row>
    <x:row r="13" ht="24" customHeight="1">
      <x:c r="A13" s="54" t="n">
        <x:v>2025</x:v>
      </x:c>
      <x:c r="B13" s="55">
        <x:f>'11_Berechnungsbasis'!C16</x:f>
        <x:v>2279</x:v>
      </x:c>
      <x:c r="C13" s="55">
        <x:f>'08_Kategorien'!E94</x:f>
        <x:v>148</x:v>
      </x:c>
      <x:c r="D13" s="56">
        <x:f>C13/B13</x:f>
        <x:v>0.06494076349275998</x:v>
      </x:c>
      <x:c r="E13" s="55">
        <x:f>'08_Kategorien'!E142</x:f>
        <x:v>107</x:v>
      </x:c>
      <x:c r="F13" s="56">
        <x:f>E13/B13</x:f>
        <x:v>0.04695041684949539</x:v>
      </x:c>
      <x:c r="G13" s="55">
        <x:f>'08_Kategorien'!E150</x:f>
        <x:v>46</x:v>
      </x:c>
      <x:c r="H13" s="56">
        <x:f>G13/B13</x:f>
        <x:v>0.020184291355857833</x:v>
      </x:c>
      <x:c r="I13" s="43"/>
      <x:c r="J13" s="43"/>
    </x:row>
    <x:row r="14" ht="24" customHeight="1">
      <x:c r="A14" s="57" t="inlineStr">
        <x:is>
          <x:t xml:space="preserve">Gesamt</x:t>
        </x:is>
      </x:c>
      <x:c r="B14" s="58">
        <x:f>SUM(B6:B13)</x:f>
        <x:v>25247</x:v>
      </x:c>
      <x:c r="C14" s="58">
        <x:f>SUM(C6:C13)</x:f>
        <x:v>1554</x:v>
      </x:c>
      <x:c r="D14" s="59">
        <x:f>C14/B14</x:f>
        <x:v>0.06155186754861964</x:v>
      </x:c>
      <x:c r="E14" s="58">
        <x:f>SUM(E6:E13)</x:f>
        <x:v>485</x:v>
      </x:c>
      <x:c r="F14" s="59">
        <x:f>E14/B14</x:f>
        <x:v>0.01921020319245851</x:v>
      </x:c>
      <x:c r="G14" s="58">
        <x:f>SUM(G6:G13)</x:f>
        <x:v>431</x:v>
      </x:c>
      <x:c r="H14" s="59">
        <x:f>G14/B14</x:f>
        <x:v>0.01707133520814354</x:v>
      </x:c>
      <x:c r="I14" s="43"/>
      <x:c r="J14" s="43"/>
    </x:row>
    <x:row r="15" ht="24" customHeight="1">
      <x:c r="A15" s="42"/>
      <x:c r="B15" s="42"/>
      <x:c r="C15" s="42"/>
      <x:c r="D15" s="42"/>
      <x:c r="E15" s="42"/>
      <x:c r="F15" s="42"/>
      <x:c r="G15" s="42"/>
      <x:c r="H15" s="42"/>
      <x:c r="I15" s="43"/>
      <x:c r="J15" s="43"/>
    </x:row>
    <x:row r="16" ht="24" customHeight="1">
      <x:c r="A16" s="60" t="inlineStr">
        <x:is>
          <x:t xml:space="preserve">G1: Preise und Kosten (Ökonomie, Kategorie 1)</x:t>
        </x:is>
      </x:c>
      <x:c r="B16" s="42"/>
      <x:c r="C16" s="42"/>
      <x:c r="D16" s="42"/>
      <x:c r="E16" s="42"/>
      <x:c r="F16" s="42"/>
      <x:c r="G16" s="42"/>
      <x:c r="H16" s="42"/>
      <x:c r="I16" s="43"/>
      <x:c r="J16" s="43"/>
    </x:row>
    <x:row r="17" ht="24" customHeight="1">
      <x:c r="A17" s="60" t="inlineStr">
        <x:is>
          <x:t xml:space="preserve">G7: Agrardiesel und Rückvergütung (Ökonomie, Kategorie 7)</x:t>
        </x:is>
      </x:c>
      <x:c r="B17" s="42"/>
      <x:c r="C17" s="42"/>
      <x:c r="D17" s="42"/>
      <x:c r="E17" s="42"/>
      <x:c r="F17" s="42"/>
      <x:c r="G17" s="42"/>
      <x:c r="H17" s="42"/>
      <x:c r="I17" s="43"/>
      <x:c r="J17" s="43"/>
    </x:row>
    <x:row r="18" ht="24" customHeight="1">
      <x:c r="A18" s="60" t="inlineStr">
        <x:is>
          <x:t xml:space="preserve">SR1: Ernährungssicherheit und Ernährungssicherung (Sicherheit und Resilienz, Kategorie 1)</x:t>
        </x:is>
      </x:c>
      <x:c r="B18" s="42"/>
      <x:c r="C18" s="42"/>
      <x:c r="D18" s="42"/>
      <x:c r="E18" s="42"/>
      <x:c r="F18" s="42"/>
      <x:c r="G18" s="42"/>
      <x:c r="H18" s="42"/>
      <x:c r="I18" s="43"/>
      <x:c r="J18" s="43"/>
    </x:row>
    <x:row r="19" ht="24" customHeight="1">
      <x:c r="A19" s="42"/>
      <x:c r="B19" s="42"/>
      <x:c r="C19" s="42"/>
      <x:c r="D19" s="42"/>
      <x:c r="E19" s="42"/>
      <x:c r="F19" s="42"/>
      <x:c r="G19" s="42"/>
      <x:c r="H19" s="42"/>
      <x:c r="I19" s="43"/>
      <x:c r="J19" s="43"/>
    </x:row>
    <x:row r="20" ht="24" customHeight="1">
      <x:c r="A20" s="46" t="inlineStr">
        <x:is>
          <x:t xml:space="preserve">Ausgewertet werden die vollständigen aktuellen Kategorien einschließlich ihrer Regeln und Ausschlüsse.</x:t>
        </x:is>
      </x:c>
      <x:c r="B20" s="42"/>
      <x:c r="C20" s="42"/>
      <x:c r="D20" s="42"/>
      <x:c r="E20" s="42"/>
      <x:c r="F20" s="42"/>
      <x:c r="G20" s="42"/>
      <x:c r="H20" s="42"/>
      <x:c r="I20" s="43"/>
      <x:c r="J20" s="43"/>
    </x:row>
    <x:row r="21" ht="24" customHeight="1">
      <x:c r="A21" s="46" t="inlineStr">
        <x:is>
          <x:t xml:space="preserve">Jeder Satz zählt innerhalb einer Kategorie höchstens einmal; die Kategorien können sich überschneiden.</x:t>
        </x:is>
      </x:c>
      <x:c r="B21" s="42"/>
      <x:c r="C21" s="42"/>
      <x:c r="D21" s="42"/>
      <x:c r="E21" s="42"/>
      <x:c r="F21" s="42"/>
      <x:c r="G21" s="42"/>
      <x:c r="H21" s="42"/>
      <x:c r="I21" s="43"/>
      <x:c r="J21" s="43"/>
    </x:row>
    <x:row r="22" ht="24" customHeight="1">
      <x:c r="A22" s="46" t="inlineStr">
        <x:is>
          <x:t xml:space="preserve">Anteil = Kategorie-Sätze / A&amp;E-Sätze. Gesamtanteile verwenden die Summen über alle acht Jahre.</x:t>
        </x:is>
      </x:c>
      <x:c r="B22" s="42"/>
      <x:c r="C22" s="42"/>
      <x:c r="D22" s="42"/>
      <x:c r="E22" s="42"/>
      <x:c r="F22" s="42"/>
      <x:c r="G22" s="42"/>
      <x:c r="H22" s="42"/>
      <x:c r="I22" s="43"/>
      <x:c r="J22" s="43"/>
    </x:row>
    <x:row r="23" ht="24" customHeight="1">
      <x:c r="A23" s="42"/>
      <x:c r="B23" s="42"/>
      <x:c r="C23" s="42"/>
      <x:c r="D23" s="42"/>
      <x:c r="E23" s="42"/>
      <x:c r="F23" s="42"/>
      <x:c r="G23" s="42"/>
      <x:c r="H23" s="42"/>
      <x:c r="I23" s="43"/>
      <x:c r="J23" s="43"/>
    </x:row>
    <x:row r="24" ht="24" customHeight="1">
      <x:c r="A24" s="46" t="inlineStr">
        <x:is>
          <x:t xml:space="preserve">Quelle: Satzmaster_Agrar_Ernaehrung.csv.gz</x:t>
        </x:is>
      </x:c>
      <x:c r="B24" s="42"/>
      <x:c r="C24" s="42"/>
      <x:c r="D24" s="42"/>
      <x:c r="E24" s="42"/>
      <x:c r="F24" s="42"/>
      <x:c r="G24" s="42"/>
      <x:c r="H24" s="42"/>
      <x:c r="I24" s="43"/>
      <x:c r="J24" s="43"/>
    </x:row>
    <x:row r="25" ht="24" customHeight="1">
      <x:c r="A25" s="46" t="inlineStr">
        <x:is>
          <x:t xml:space="preserve">SHA-256: a1a876862728b709e864a0008403225486b4a68ff8511d12714c1ff925a98079</x:t>
        </x:is>
      </x:c>
      <x:c r="B25" s="42"/>
      <x:c r="C25" s="42"/>
      <x:c r="D25" s="42"/>
      <x:c r="E25" s="42"/>
      <x:c r="F25" s="42"/>
      <x:c r="G25" s="42"/>
      <x:c r="H25" s="42"/>
      <x:c r="I25" s="43"/>
      <x:c r="J25" s="43"/>
    </x:row>
    <x:row r="26" ht="24" customHeight="1">
      <x:c r="A26" s="42"/>
      <x:c r="B26" s="42"/>
      <x:c r="C26" s="42"/>
      <x:c r="D26" s="42"/>
      <x:c r="E26" s="42"/>
      <x:c r="F26" s="42"/>
      <x:c r="G26" s="42"/>
      <x:c r="H26" s="42"/>
      <x:c r="I26" s="43"/>
      <x:c r="J26" s="43"/>
    </x:row>
    <x:row r="27">
      <x:c r="A27"/>
      <x:c r="B27"/>
      <x:c r="C27"/>
      <x:c r="D27"/>
      <x:c r="E27"/>
      <x:c r="F27"/>
      <x:c r="G27"/>
      <x:c r="H27"/>
      <x:c r="I27"/>
      <x:c r="J27"/>
    </x:row>
    <x:row r="28" ht="30" customHeight="1">
      <x:c r="A28" s="19" t="str">
        <x:v>Tabelle A4: Monatswerte 2022</x:v>
      </x:c>
      <x:c r="B28" s="19"/>
      <x:c r="C28" s="19"/>
      <x:c r="D28" s="19"/>
      <x:c r="E28" s="19"/>
      <x:c r="F28" s="19"/>
      <x:c r="G28"/>
      <x:c r="H28"/>
      <x:c r="I28"/>
      <x:c r="J28"/>
    </x:row>
    <x:row r="29" ht="62" customHeight="1">
      <x:c r="A29" s="7" t="str">
        <x:v>Monat</x:v>
      </x:c>
      <x:c r="B29" s="7" t="str">
        <x:v>A&amp;E-Sätze</x:v>
      </x:c>
      <x:c r="C29" s="7" t="str">
        <x:v>Preise / Kosten (G1)</x:v>
      </x:c>
      <x:c r="D29" s="7" t="str">
        <x:v>G1 / A&amp;E</x:v>
      </x:c>
      <x:c r="E29" s="7" t="str">
        <x:v>Ernährungssicherheit (SR1)</x:v>
      </x:c>
      <x:c r="F29" s="7" t="str">
        <x:v>SR1 / A&amp;E</x:v>
      </x:c>
      <x:c r="G29"/>
      <x:c r="H29"/>
      <x:c r="I29"/>
      <x:c r="J29"/>
    </x:row>
    <x:row r="30" ht="25" customHeight="1">
      <x:c r="A30" s="9" t="str">
        <x:v>2022-01</x:v>
      </x:c>
      <x:c r="B30" s="9">
        <x:v>523</x:v>
      </x:c>
      <x:c r="C30" s="9">
        <x:v>56</x:v>
      </x:c>
      <x:c r="D30" s="61">
        <x:f>IF(B30=0,"n.a.",C30/B30)</x:f>
        <x:v>0.10707456978967496</x:v>
      </x:c>
      <x:c r="E30" s="9">
        <x:v>4</x:v>
      </x:c>
      <x:c r="F30" s="61">
        <x:f>IF(B30=0,"n.a.",E30/B30)</x:f>
        <x:v>0.0076481835564053535</x:v>
      </x:c>
      <x:c r="G30"/>
      <x:c r="H30"/>
      <x:c r="I30"/>
      <x:c r="J30"/>
    </x:row>
    <x:row r="31" ht="25" customHeight="1">
      <x:c r="A31" s="8" t="str">
        <x:v>2022-02</x:v>
      </x:c>
      <x:c r="B31" s="8">
        <x:v>29</x:v>
      </x:c>
      <x:c r="C31" s="8">
        <x:v>2</x:v>
      </x:c>
      <x:c r="D31" s="62">
        <x:f>IF(B31=0,"n.a.",C31/B31)</x:f>
        <x:v>0.06896551724137931</x:v>
      </x:c>
      <x:c r="E31" s="8">
        <x:v>2</x:v>
      </x:c>
      <x:c r="F31" s="62">
        <x:f>IF(B31=0,"n.a.",E31/B31)</x:f>
        <x:v>0.06896551724137931</x:v>
      </x:c>
      <x:c r="G31"/>
      <x:c r="H31"/>
      <x:c r="I31"/>
      <x:c r="J31"/>
    </x:row>
    <x:row r="32" ht="25" customHeight="1">
      <x:c r="A32" s="9" t="str">
        <x:v>2022-03</x:v>
      </x:c>
      <x:c r="B32" s="9">
        <x:v>412</x:v>
      </x:c>
      <x:c r="C32" s="9">
        <x:v>58</x:v>
      </x:c>
      <x:c r="D32" s="61">
        <x:f>IF(B32=0,"n.a.",C32/B32)</x:f>
        <x:v>0.1407766990291262</x:v>
      </x:c>
      <x:c r="E32" s="9">
        <x:v>26</x:v>
      </x:c>
      <x:c r="F32" s="61">
        <x:f>IF(B32=0,"n.a.",E32/B32)</x:f>
        <x:v>0.06310679611650485</x:v>
      </x:c>
      <x:c r="G32"/>
      <x:c r="H32"/>
      <x:c r="I32"/>
      <x:c r="J32"/>
    </x:row>
    <x:row r="33" ht="25" customHeight="1">
      <x:c r="A33" s="8" t="str">
        <x:v>2022-04</x:v>
      </x:c>
      <x:c r="B33" s="8">
        <x:v>317</x:v>
      </x:c>
      <x:c r="C33" s="8">
        <x:v>54</x:v>
      </x:c>
      <x:c r="D33" s="62">
        <x:f>IF(B33=0,"n.a.",C33/B33)</x:f>
        <x:v>0.17034700315457413</x:v>
      </x:c>
      <x:c r="E33" s="8">
        <x:v>21</x:v>
      </x:c>
      <x:c r="F33" s="62">
        <x:f>IF(B33=0,"n.a.",E33/B33)</x:f>
        <x:v>0.06624605678233439</x:v>
      </x:c>
      <x:c r="G33"/>
      <x:c r="H33"/>
      <x:c r="I33"/>
      <x:c r="J33"/>
    </x:row>
    <x:row r="34" ht="25" customHeight="1">
      <x:c r="A34" s="9" t="str">
        <x:v>2022-05</x:v>
      </x:c>
      <x:c r="B34" s="9">
        <x:v>456</x:v>
      </x:c>
      <x:c r="C34" s="9">
        <x:v>74</x:v>
      </x:c>
      <x:c r="D34" s="61">
        <x:f>IF(B34=0,"n.a.",C34/B34)</x:f>
        <x:v>0.16228070175438597</x:v>
      </x:c>
      <x:c r="E34" s="9">
        <x:v>28</x:v>
      </x:c>
      <x:c r="F34" s="61">
        <x:f>IF(B34=0,"n.a.",E34/B34)</x:f>
        <x:v>0.06140350877192982</x:v>
      </x:c>
      <x:c r="G34"/>
      <x:c r="H34"/>
      <x:c r="I34"/>
      <x:c r="J34"/>
    </x:row>
    <x:row r="35" ht="25" customHeight="1">
      <x:c r="A35" s="8" t="str">
        <x:v>2022-06</x:v>
      </x:c>
      <x:c r="B35" s="8">
        <x:v>482</x:v>
      </x:c>
      <x:c r="C35" s="8">
        <x:v>90</x:v>
      </x:c>
      <x:c r="D35" s="62">
        <x:f>IF(B35=0,"n.a.",C35/B35)</x:f>
        <x:v>0.18672199170124482</x:v>
      </x:c>
      <x:c r="E35" s="8">
        <x:v>22</x:v>
      </x:c>
      <x:c r="F35" s="62">
        <x:f>IF(B35=0,"n.a.",E35/B35)</x:f>
        <x:v>0.04564315352697095</x:v>
      </x:c>
      <x:c r="G35"/>
      <x:c r="H35"/>
      <x:c r="I35"/>
      <x:c r="J35"/>
    </x:row>
    <x:row r="36" ht="25" customHeight="1">
      <x:c r="A36" s="9" t="str">
        <x:v>2022-07</x:v>
      </x:c>
      <x:c r="B36" s="9">
        <x:v>112</x:v>
      </x:c>
      <x:c r="C36" s="9">
        <x:v>19</x:v>
      </x:c>
      <x:c r="D36" s="61">
        <x:f>IF(B36=0,"n.a.",C36/B36)</x:f>
        <x:v>0.16964285714285715</x:v>
      </x:c>
      <x:c r="E36" s="9">
        <x:v>2</x:v>
      </x:c>
      <x:c r="F36" s="61">
        <x:f>IF(B36=0,"n.a.",E36/B36)</x:f>
        <x:v>0.017857142857142856</x:v>
      </x:c>
      <x:c r="G36"/>
      <x:c r="H36"/>
      <x:c r="I36"/>
      <x:c r="J36"/>
    </x:row>
    <x:row r="37" ht="25" customHeight="1">
      <x:c r="A37" s="8" t="str">
        <x:v>2022-08</x:v>
      </x:c>
      <x:c r="B37" s="8">
        <x:v>0</x:v>
      </x:c>
      <x:c r="C37" s="8">
        <x:v>0</x:v>
      </x:c>
      <x:c r="D37" s="62" t="str">
        <x:f>IF(B37=0,"n.a.",C37/B37)</x:f>
        <x:v>n.a.</x:v>
      </x:c>
      <x:c r="E37" s="8">
        <x:v>0</x:v>
      </x:c>
      <x:c r="F37" s="62" t="str">
        <x:f>IF(B37=0,"n.a.",E37/B37)</x:f>
        <x:v>n.a.</x:v>
      </x:c>
      <x:c r="G37"/>
      <x:c r="H37"/>
      <x:c r="I37"/>
      <x:c r="J37"/>
    </x:row>
    <x:row r="38" ht="25" customHeight="1">
      <x:c r="A38" s="9" t="str">
        <x:v>2022-09</x:v>
      </x:c>
      <x:c r="B38" s="9">
        <x:v>771</x:v>
      </x:c>
      <x:c r="C38" s="9">
        <x:v>103</x:v>
      </x:c>
      <x:c r="D38" s="61">
        <x:f>IF(B38=0,"n.a.",C38/B38)</x:f>
        <x:v>0.13359273670557717</x:v>
      </x:c>
      <x:c r="E38" s="9">
        <x:v>37</x:v>
      </x:c>
      <x:c r="F38" s="61">
        <x:f>IF(B38=0,"n.a.",E38/B38)</x:f>
        <x:v>0.04798962386511025</x:v>
      </x:c>
      <x:c r="G38"/>
      <x:c r="H38"/>
      <x:c r="I38"/>
      <x:c r="J38"/>
    </x:row>
    <x:row r="39" ht="25" customHeight="1">
      <x:c r="A39" s="8" t="str">
        <x:v>2022-10</x:v>
      </x:c>
      <x:c r="B39" s="8">
        <x:v>186</x:v>
      </x:c>
      <x:c r="C39" s="8">
        <x:v>22</x:v>
      </x:c>
      <x:c r="D39" s="62">
        <x:f>IF(B39=0,"n.a.",C39/B39)</x:f>
        <x:v>0.11827956989247312</x:v>
      </x:c>
      <x:c r="E39" s="8">
        <x:v>6</x:v>
      </x:c>
      <x:c r="F39" s="62">
        <x:f>IF(B39=0,"n.a.",E39/B39)</x:f>
        <x:v>0.03225806451612903</x:v>
      </x:c>
      <x:c r="G39"/>
      <x:c r="H39"/>
      <x:c r="I39"/>
      <x:c r="J39"/>
    </x:row>
    <x:row r="40" ht="25" customHeight="1">
      <x:c r="A40" s="9" t="str">
        <x:v>2022-11</x:v>
      </x:c>
      <x:c r="B40" s="9">
        <x:v>454</x:v>
      </x:c>
      <x:c r="C40" s="9">
        <x:v>52</x:v>
      </x:c>
      <x:c r="D40" s="61">
        <x:f>IF(B40=0,"n.a.",C40/B40)</x:f>
        <x:v>0.1145374449339207</x:v>
      </x:c>
      <x:c r="E40" s="9">
        <x:v>18</x:v>
      </x:c>
      <x:c r="F40" s="61">
        <x:f>IF(B40=0,"n.a.",E40/B40)</x:f>
        <x:v>0.039647577092511016</x:v>
      </x:c>
      <x:c r="G40"/>
      <x:c r="H40"/>
      <x:c r="I40"/>
      <x:c r="J40"/>
    </x:row>
    <x:row r="41" ht="25" customHeight="1">
      <x:c r="A41" s="8" t="str">
        <x:v>2022-12</x:v>
      </x:c>
      <x:c r="B41" s="8">
        <x:v>276</x:v>
      </x:c>
      <x:c r="C41" s="8">
        <x:v>14</x:v>
      </x:c>
      <x:c r="D41" s="62">
        <x:f>IF(B41=0,"n.a.",C41/B41)</x:f>
        <x:v>0.050724637681159424</x:v>
      </x:c>
      <x:c r="E41" s="8">
        <x:v>1</x:v>
      </x:c>
      <x:c r="F41" s="62">
        <x:f>IF(B41=0,"n.a.",E41/B41)</x:f>
        <x:v>0.0036231884057971015</x:v>
      </x:c>
      <x:c r="G41"/>
      <x:c r="H41"/>
      <x:c r="I41"/>
      <x:c r="J41"/>
    </x:row>
    <x:row r="42">
      <x:c r="A42"/>
      <x:c r="B42"/>
      <x:c r="C42"/>
      <x:c r="D42"/>
      <x:c r="E42"/>
      <x:c r="F42"/>
      <x:c r="G42"/>
      <x:c r="H42"/>
      <x:c r="I42"/>
      <x:c r="J42"/>
    </x:row>
    <x:row r="43" ht="35" customHeight="1">
      <x:c r="A43" s="63" t="str">
        <x:v>August 2022: kein A&amp;E-Satz; deshalb kein berechenbarer Anteil (n.a.). Andere Nullwerte sind beobachtete Nulltreffer.</x:v>
      </x:c>
      <x:c r="B43" s="63"/>
      <x:c r="C43" s="63"/>
      <x:c r="D43" s="63"/>
      <x:c r="E43" s="63"/>
      <x:c r="F43" s="63"/>
      <x:c r="G43"/>
      <x:c r="H43"/>
      <x:c r="I43"/>
      <x:c r="J43"/>
    </x:row>
    <x:row r="44">
      <x:c r="A44"/>
      <x:c r="B44"/>
      <x:c r="C44"/>
      <x:c r="D44"/>
      <x:c r="E44"/>
      <x:c r="F44"/>
      <x:c r="G44"/>
      <x:c r="H44"/>
      <x:c r="I44"/>
      <x:c r="J44"/>
    </x:row>
    <x:row r="45" ht="30" customHeight="1">
      <x:c r="A45" s="19" t="str">
        <x:v>Tabelle A8: Preise und Kosten nach Fraktionen und Zeiträumen</x:v>
      </x:c>
      <x:c r="B45" s="19"/>
      <x:c r="C45" s="19"/>
      <x:c r="D45" s="19"/>
      <x:c r="E45" s="19"/>
      <x:c r="F45"/>
      <x:c r="G45"/>
      <x:c r="H45"/>
      <x:c r="I45"/>
      <x:c r="J45"/>
    </x:row>
    <x:row r="46" ht="54" customHeight="1">
      <x:c r="A46" s="7" t="str">
        <x:v>Fraktion</x:v>
      </x:c>
      <x:c r="B46" s="7" t="str">
        <x:v>Zeitraum</x:v>
      </x:c>
      <x:c r="C46" s="7" t="str">
        <x:v>Preise / Kosten (G1)</x:v>
      </x:c>
      <x:c r="D46" s="7" t="str">
        <x:v>Ökonomiesätze</x:v>
      </x:c>
      <x:c r="E46" s="7" t="str">
        <x:v>G1 / Ökonomie</x:v>
      </x:c>
      <x:c r="F46"/>
      <x:c r="G46"/>
      <x:c r="H46"/>
      <x:c r="I46"/>
      <x:c r="J46"/>
    </x:row>
    <x:row r="47" ht="25" customHeight="1">
      <x:c r="A47" s="8" t="str">
        <x:v>CDU/CSU</x:v>
      </x:c>
      <x:c r="B47" s="8" t="str">
        <x:v>2018–2025</x:v>
      </x:c>
      <x:c r="C47" s="8">
        <x:v>323</x:v>
      </x:c>
      <x:c r="D47" s="8">
        <x:v>1658</x:v>
      </x:c>
      <x:c r="E47" s="62">
        <x:f>IF(D47=0,"n.a.",C47/D47)</x:f>
        <x:v>0.1948130277442702</x:v>
      </x:c>
      <x:c r="F47"/>
      <x:c r="G47"/>
      <x:c r="H47"/>
      <x:c r="I47"/>
      <x:c r="J47"/>
    </x:row>
    <x:row r="48" ht="25" customHeight="1">
      <x:c r="A48" s="9" t="str">
        <x:v>CDU/CSU</x:v>
      </x:c>
      <x:c r="B48" s="9" t="str">
        <x:v>2018–2021</x:v>
      </x:c>
      <x:c r="C48" s="9">
        <x:v>110</x:v>
      </x:c>
      <x:c r="D48" s="9">
        <x:v>650</x:v>
      </x:c>
      <x:c r="E48" s="61">
        <x:f>IF(D48=0,"n.a.",C48/D48)</x:f>
        <x:v>0.16923076923076924</x:v>
      </x:c>
      <x:c r="F48"/>
      <x:c r="G48"/>
      <x:c r="H48"/>
      <x:c r="I48"/>
      <x:c r="J48"/>
    </x:row>
    <x:row r="49" ht="25" customHeight="1">
      <x:c r="A49" s="8" t="str">
        <x:v>CDU/CSU</x:v>
      </x:c>
      <x:c r="B49" s="8" t="str">
        <x:v>2022</x:v>
      </x:c>
      <x:c r="C49" s="8">
        <x:v>96</x:v>
      </x:c>
      <x:c r="D49" s="8">
        <x:v>248</x:v>
      </x:c>
      <x:c r="E49" s="62">
        <x:f>IF(D49=0,"n.a.",C49/D49)</x:f>
        <x:v>0.3870967741935484</x:v>
      </x:c>
      <x:c r="F49"/>
      <x:c r="G49"/>
      <x:c r="H49"/>
      <x:c r="I49"/>
      <x:c r="J49"/>
    </x:row>
    <x:row r="50" ht="25" customHeight="1">
      <x:c r="A50" s="9" t="str">
        <x:v>CDU/CSU</x:v>
      </x:c>
      <x:c r="B50" s="9" t="str">
        <x:v>2023–2025</x:v>
      </x:c>
      <x:c r="C50" s="9">
        <x:v>117</x:v>
      </x:c>
      <x:c r="D50" s="9">
        <x:v>760</x:v>
      </x:c>
      <x:c r="E50" s="61">
        <x:f>IF(D50=0,"n.a.",C50/D50)</x:f>
        <x:v>0.15394736842105264</x:v>
      </x:c>
      <x:c r="F50"/>
      <x:c r="G50"/>
      <x:c r="H50"/>
      <x:c r="I50"/>
      <x:c r="J50"/>
    </x:row>
    <x:row r="51" ht="25" customHeight="1">
      <x:c r="A51" s="8" t="str">
        <x:v>SPD</x:v>
      </x:c>
      <x:c r="B51" s="8" t="str">
        <x:v>2018–2025</x:v>
      </x:c>
      <x:c r="C51" s="8">
        <x:v>281</x:v>
      </x:c>
      <x:c r="D51" s="8">
        <x:v>1073</x:v>
      </x:c>
      <x:c r="E51" s="62">
        <x:f>IF(D51=0,"n.a.",C51/D51)</x:f>
        <x:v>0.2618825722273998</x:v>
      </x:c>
      <x:c r="F51"/>
      <x:c r="G51"/>
      <x:c r="H51"/>
      <x:c r="I51"/>
      <x:c r="J51"/>
    </x:row>
    <x:row r="52" ht="25" customHeight="1">
      <x:c r="A52" s="9" t="str">
        <x:v>SPD</x:v>
      </x:c>
      <x:c r="B52" s="9" t="str">
        <x:v>2018–2021</x:v>
      </x:c>
      <x:c r="C52" s="9">
        <x:v>48</x:v>
      </x:c>
      <x:c r="D52" s="9">
        <x:v>299</x:v>
      </x:c>
      <x:c r="E52" s="61">
        <x:f>IF(D52=0,"n.a.",C52/D52)</x:f>
        <x:v>0.1605351170568562</x:v>
      </x:c>
      <x:c r="F52"/>
      <x:c r="G52"/>
      <x:c r="H52"/>
      <x:c r="I52"/>
      <x:c r="J52"/>
    </x:row>
    <x:row r="53" ht="25" customHeight="1">
      <x:c r="A53" s="8" t="str">
        <x:v>SPD</x:v>
      </x:c>
      <x:c r="B53" s="8" t="str">
        <x:v>2022</x:v>
      </x:c>
      <x:c r="C53" s="8">
        <x:v>119</x:v>
      </x:c>
      <x:c r="D53" s="8">
        <x:v>256</x:v>
      </x:c>
      <x:c r="E53" s="62">
        <x:f>IF(D53=0,"n.a.",C53/D53)</x:f>
        <x:v>0.46484375</x:v>
      </x:c>
      <x:c r="F53"/>
      <x:c r="G53"/>
      <x:c r="H53"/>
      <x:c r="I53"/>
      <x:c r="J53"/>
    </x:row>
    <x:row r="54" ht="25" customHeight="1">
      <x:c r="A54" s="9" t="str">
        <x:v>SPD</x:v>
      </x:c>
      <x:c r="B54" s="9" t="str">
        <x:v>2023–2025</x:v>
      </x:c>
      <x:c r="C54" s="9">
        <x:v>114</x:v>
      </x:c>
      <x:c r="D54" s="9">
        <x:v>518</x:v>
      </x:c>
      <x:c r="E54" s="61">
        <x:f>IF(D54=0,"n.a.",C54/D54)</x:f>
        <x:v>0.22007722007722008</x:v>
      </x:c>
      <x:c r="F54"/>
      <x:c r="G54"/>
      <x:c r="H54"/>
      <x:c r="I54"/>
      <x:c r="J54"/>
    </x:row>
    <x:row r="55" ht="25" customHeight="1">
      <x:c r="A55" s="8" t="str">
        <x:v>Grüne</x:v>
      </x:c>
      <x:c r="B55" s="8" t="str">
        <x:v>2018–2025</x:v>
      </x:c>
      <x:c r="C55" s="8">
        <x:v>220</x:v>
      </x:c>
      <x:c r="D55" s="8">
        <x:v>828</x:v>
      </x:c>
      <x:c r="E55" s="62">
        <x:f>IF(D55=0,"n.a.",C55/D55)</x:f>
        <x:v>0.26570048309178745</x:v>
      </x:c>
      <x:c r="F55"/>
      <x:c r="G55"/>
      <x:c r="H55"/>
      <x:c r="I55"/>
      <x:c r="J55"/>
    </x:row>
    <x:row r="56" ht="25" customHeight="1">
      <x:c r="A56" s="9" t="str">
        <x:v>Grüne</x:v>
      </x:c>
      <x:c r="B56" s="9" t="str">
        <x:v>2018–2021</x:v>
      </x:c>
      <x:c r="C56" s="9">
        <x:v>42</x:v>
      </x:c>
      <x:c r="D56" s="9">
        <x:v>211</x:v>
      </x:c>
      <x:c r="E56" s="61">
        <x:f>IF(D56=0,"n.a.",C56/D56)</x:f>
        <x:v>0.1990521327014218</x:v>
      </x:c>
      <x:c r="F56"/>
      <x:c r="G56"/>
      <x:c r="H56"/>
      <x:c r="I56"/>
      <x:c r="J56"/>
    </x:row>
    <x:row r="57" ht="25" customHeight="1">
      <x:c r="A57" s="8" t="str">
        <x:v>Grüne</x:v>
      </x:c>
      <x:c r="B57" s="8" t="str">
        <x:v>2022</x:v>
      </x:c>
      <x:c r="C57" s="8">
        <x:v>97</x:v>
      </x:c>
      <x:c r="D57" s="8">
        <x:v>208</x:v>
      </x:c>
      <x:c r="E57" s="62">
        <x:f>IF(D57=0,"n.a.",C57/D57)</x:f>
        <x:v>0.46634615384615385</x:v>
      </x:c>
      <x:c r="F57"/>
      <x:c r="G57"/>
      <x:c r="H57"/>
      <x:c r="I57"/>
      <x:c r="J57"/>
    </x:row>
    <x:row r="58" ht="25" customHeight="1">
      <x:c r="A58" s="9" t="str">
        <x:v>Grüne</x:v>
      </x:c>
      <x:c r="B58" s="9" t="str">
        <x:v>2023–2025</x:v>
      </x:c>
      <x:c r="C58" s="9">
        <x:v>81</x:v>
      </x:c>
      <x:c r="D58" s="9">
        <x:v>409</x:v>
      </x:c>
      <x:c r="E58" s="61">
        <x:f>IF(D58=0,"n.a.",C58/D58)</x:f>
        <x:v>0.1980440097799511</x:v>
      </x:c>
      <x:c r="F58"/>
      <x:c r="G58"/>
      <x:c r="H58"/>
      <x:c r="I58"/>
      <x:c r="J58"/>
    </x:row>
    <x:row r="59" ht="25" customHeight="1">
      <x:c r="A59" s="8" t="str">
        <x:v>AfD</x:v>
      </x:c>
      <x:c r="B59" s="8" t="str">
        <x:v>2018–2025</x:v>
      </x:c>
      <x:c r="C59" s="8">
        <x:v>294</x:v>
      </x:c>
      <x:c r="D59" s="8">
        <x:v>951</x:v>
      </x:c>
      <x:c r="E59" s="62">
        <x:f>IF(D59=0,"n.a.",C59/D59)</x:f>
        <x:v>0.30914826498422715</x:v>
      </x:c>
      <x:c r="F59"/>
      <x:c r="G59"/>
      <x:c r="H59"/>
      <x:c r="I59"/>
      <x:c r="J59"/>
    </x:row>
    <x:row r="60" ht="25" customHeight="1">
      <x:c r="A60" s="9" t="str">
        <x:v>AfD</x:v>
      </x:c>
      <x:c r="B60" s="9" t="str">
        <x:v>2018–2021</x:v>
      </x:c>
      <x:c r="C60" s="9">
        <x:v>60</x:v>
      </x:c>
      <x:c r="D60" s="9">
        <x:v>311</x:v>
      </x:c>
      <x:c r="E60" s="61">
        <x:f>IF(D60=0,"n.a.",C60/D60)</x:f>
        <x:v>0.19292604501607716</x:v>
      </x:c>
      <x:c r="F60"/>
      <x:c r="G60"/>
      <x:c r="H60"/>
      <x:c r="I60"/>
      <x:c r="J60"/>
    </x:row>
    <x:row r="61" ht="25" customHeight="1">
      <x:c r="A61" s="8" t="str">
        <x:v>AfD</x:v>
      </x:c>
      <x:c r="B61" s="8" t="str">
        <x:v>2022</x:v>
      </x:c>
      <x:c r="C61" s="8">
        <x:v>104</x:v>
      </x:c>
      <x:c r="D61" s="8">
        <x:v>180</x:v>
      </x:c>
      <x:c r="E61" s="62">
        <x:f>IF(D61=0,"n.a.",C61/D61)</x:f>
        <x:v>0.5777777777777777</x:v>
      </x:c>
      <x:c r="F61"/>
      <x:c r="G61"/>
      <x:c r="H61"/>
      <x:c r="I61"/>
      <x:c r="J61"/>
    </x:row>
    <x:row r="62" ht="25" customHeight="1">
      <x:c r="A62" s="9" t="str">
        <x:v>AfD</x:v>
      </x:c>
      <x:c r="B62" s="9" t="str">
        <x:v>2023–2025</x:v>
      </x:c>
      <x:c r="C62" s="9">
        <x:v>130</x:v>
      </x:c>
      <x:c r="D62" s="9">
        <x:v>460</x:v>
      </x:c>
      <x:c r="E62" s="61">
        <x:f>IF(D62=0,"n.a.",C62/D62)</x:f>
        <x:v>0.2826086956521739</x:v>
      </x:c>
      <x:c r="F62"/>
      <x:c r="G62"/>
      <x:c r="H62"/>
      <x:c r="I62"/>
      <x:c r="J62"/>
    </x:row>
    <x:row r="63" ht="25" customHeight="1">
      <x:c r="A63" s="8" t="str">
        <x:v>FDP</x:v>
      </x:c>
      <x:c r="B63" s="8" t="str">
        <x:v>2018–2025</x:v>
      </x:c>
      <x:c r="C63" s="8">
        <x:v>102</x:v>
      </x:c>
      <x:c r="D63" s="8">
        <x:v>554</x:v>
      </x:c>
      <x:c r="E63" s="62">
        <x:f>IF(D63=0,"n.a.",C63/D63)</x:f>
        <x:v>0.18411552346570398</x:v>
      </x:c>
      <x:c r="F63"/>
      <x:c r="G63"/>
      <x:c r="H63"/>
      <x:c r="I63"/>
      <x:c r="J63"/>
    </x:row>
    <x:row r="64" ht="25" customHeight="1">
      <x:c r="A64" s="9" t="str">
        <x:v>FDP</x:v>
      </x:c>
      <x:c r="B64" s="9" t="str">
        <x:v>2018–2021</x:v>
      </x:c>
      <x:c r="C64" s="9">
        <x:v>32</x:v>
      </x:c>
      <x:c r="D64" s="9">
        <x:v>232</x:v>
      </x:c>
      <x:c r="E64" s="61">
        <x:f>IF(D64=0,"n.a.",C64/D64)</x:f>
        <x:v>0.13793103448275862</x:v>
      </x:c>
      <x:c r="F64"/>
      <x:c r="G64"/>
      <x:c r="H64"/>
      <x:c r="I64"/>
      <x:c r="J64"/>
    </x:row>
    <x:row r="65" ht="25" customHeight="1">
      <x:c r="A65" s="8" t="str">
        <x:v>FDP</x:v>
      </x:c>
      <x:c r="B65" s="8" t="str">
        <x:v>2022</x:v>
      </x:c>
      <x:c r="C65" s="8">
        <x:v>35</x:v>
      </x:c>
      <x:c r="D65" s="8">
        <x:v>117</x:v>
      </x:c>
      <x:c r="E65" s="62">
        <x:f>IF(D65=0,"n.a.",C65/D65)</x:f>
        <x:v>0.29914529914529914</x:v>
      </x:c>
      <x:c r="F65"/>
      <x:c r="G65"/>
      <x:c r="H65"/>
      <x:c r="I65"/>
      <x:c r="J65"/>
    </x:row>
    <x:row r="66" ht="25" customHeight="1">
      <x:c r="A66" s="9" t="str">
        <x:v>FDP</x:v>
      </x:c>
      <x:c r="B66" s="9" t="str">
        <x:v>2023–2025</x:v>
      </x:c>
      <x:c r="C66" s="9">
        <x:v>35</x:v>
      </x:c>
      <x:c r="D66" s="9">
        <x:v>205</x:v>
      </x:c>
      <x:c r="E66" s="61">
        <x:f>IF(D66=0,"n.a.",C66/D66)</x:f>
        <x:v>0.17073170731707318</x:v>
      </x:c>
      <x:c r="F66"/>
      <x:c r="G66"/>
      <x:c r="H66"/>
      <x:c r="I66"/>
      <x:c r="J66"/>
    </x:row>
    <x:row r="67" ht="25" customHeight="1">
      <x:c r="A67" s="8" t="str">
        <x:v>Die Linke</x:v>
      </x:c>
      <x:c r="B67" s="8" t="str">
        <x:v>2018–2025</x:v>
      </x:c>
      <x:c r="C67" s="8">
        <x:v>309</x:v>
      </x:c>
      <x:c r="D67" s="8">
        <x:v>725</x:v>
      </x:c>
      <x:c r="E67" s="62">
        <x:f>IF(D67=0,"n.a.",C67/D67)</x:f>
        <x:v>0.4262068965517241</x:v>
      </x:c>
      <x:c r="F67"/>
      <x:c r="G67"/>
      <x:c r="H67"/>
      <x:c r="I67"/>
      <x:c r="J67"/>
    </x:row>
    <x:row r="68" ht="25" customHeight="1">
      <x:c r="A68" s="9" t="str">
        <x:v>Die Linke</x:v>
      </x:c>
      <x:c r="B68" s="9" t="str">
        <x:v>2018–2021</x:v>
      </x:c>
      <x:c r="C68" s="9">
        <x:v>92</x:v>
      </x:c>
      <x:c r="D68" s="9">
        <x:v>300</x:v>
      </x:c>
      <x:c r="E68" s="61">
        <x:f>IF(D68=0,"n.a.",C68/D68)</x:f>
        <x:v>0.30666666666666664</x:v>
      </x:c>
      <x:c r="F68"/>
      <x:c r="G68"/>
      <x:c r="H68"/>
      <x:c r="I68"/>
      <x:c r="J68"/>
    </x:row>
    <x:row r="69" ht="25" customHeight="1">
      <x:c r="A69" s="8" t="str">
        <x:v>Die Linke</x:v>
      </x:c>
      <x:c r="B69" s="8" t="str">
        <x:v>2022</x:v>
      </x:c>
      <x:c r="C69" s="8">
        <x:v>93</x:v>
      </x:c>
      <x:c r="D69" s="8">
        <x:v>163</x:v>
      </x:c>
      <x:c r="E69" s="62">
        <x:f>IF(D69=0,"n.a.",C69/D69)</x:f>
        <x:v>0.5705521472392638</x:v>
      </x:c>
      <x:c r="F69"/>
      <x:c r="G69"/>
      <x:c r="H69"/>
      <x:c r="I69"/>
      <x:c r="J69"/>
    </x:row>
    <x:row r="70" ht="25" customHeight="1">
      <x:c r="A70" s="9" t="str">
        <x:v>Die Linke</x:v>
      </x:c>
      <x:c r="B70" s="9" t="str">
        <x:v>2023–2025</x:v>
      </x:c>
      <x:c r="C70" s="9">
        <x:v>124</x:v>
      </x:c>
      <x:c r="D70" s="9">
        <x:v>262</x:v>
      </x:c>
      <x:c r="E70" s="61">
        <x:f>IF(D70=0,"n.a.",C70/D70)</x:f>
        <x:v>0.4732824427480916</x:v>
      </x:c>
      <x:c r="F70"/>
      <x:c r="G70"/>
      <x:c r="H70"/>
      <x:c r="I70"/>
      <x:c r="J70"/>
    </x:row>
    <x:row r="71">
      <x:c r="A71"/>
      <x:c r="B71"/>
      <x:c r="C71"/>
      <x:c r="D71"/>
      <x:c r="E71"/>
      <x:c r="F71"/>
      <x:c r="G71"/>
      <x:c r="H71"/>
      <x:c r="I71"/>
      <x:c r="J71"/>
    </x:row>
    <x:row r="72" ht="35" customHeight="1">
      <x:c r="A72" s="63" t="str">
        <x:v>Anteile beruhen auf summierten Satzanzahlen des jeweiligen Zeitraums, nicht auf dem Mittelwert der Jahresanteile.</x:v>
      </x:c>
      <x:c r="B72" s="63"/>
      <x:c r="C72" s="63"/>
      <x:c r="D72" s="63"/>
      <x:c r="E72" s="63"/>
      <x:c r="F72" s="63"/>
      <x:c r="G72" s="63"/>
      <x:c r="H72" s="63"/>
      <x:c r="I72"/>
      <x:c r="J72"/>
    </x:row>
    <x:row r="75">
      <x:c r="A75" s="19" t="str">
        <x:v>Ernährungssicherheit: Datumsbelege 2022</x:v>
      </x:c>
      <x:c r="B75" s="19"/>
      <x:c r="C75" s="19"/>
      <x:c r="D75" s="19"/>
      <x:c r="E75" s="19"/>
      <x:c r="F75" s="19"/>
      <x:c r="G75"/>
      <x:c r="H75"/>
    </x:row>
    <x:row r="76" ht="25" customHeight="1">
      <x:c r="A76" s="111" t="str">
        <x:v>Kennzahl</x:v>
      </x:c>
      <x:c r="B76" s="111"/>
      <x:c r="C76" s="111"/>
      <x:c r="D76" s="111"/>
      <x:c r="E76" s="111"/>
      <x:c r="F76" s="112" t="str">
        <x:v>Wert</x:v>
      </x:c>
      <x:c r="G76" s="112"/>
      <x:c r="H76" s="112"/>
    </x:row>
    <x:row r="77" ht="25" customHeight="1">
      <x:c r="A77" s="113" t="str">
        <x:v>Erster einschlägiger Satz 2022</x:v>
      </x:c>
      <x:c r="B77" s="113"/>
      <x:c r="C77" s="113"/>
      <x:c r="D77" s="113"/>
      <x:c r="E77" s="113"/>
      <x:c r="F77" s="114" t="inlineStr">
        <x:is>
          <x:t xml:space="preserve">2022-01-14</x:t>
        </x:is>
      </x:c>
      <x:c r="G77" s="114"/>
      <x:c r="H77" s="114"/>
    </x:row>
    <x:row r="78" ht="25" customHeight="1">
      <x:c r="A78" s="115" t="str">
        <x:v>Letzter einschlägiger Satz 2022</x:v>
      </x:c>
      <x:c r="B78" s="115"/>
      <x:c r="C78" s="115"/>
      <x:c r="D78" s="115"/>
      <x:c r="E78" s="115"/>
      <x:c r="F78" s="116" t="inlineStr">
        <x:is>
          <x:t xml:space="preserve">2022-12-02</x:t>
        </x:is>
      </x:c>
      <x:c r="G78" s="116"/>
      <x:c r="H78" s="116"/>
    </x:row>
    <x:row r="79" ht="25" customHeight="1">
      <x:c r="A79" s="113" t="str">
        <x:v>Sätze vor dem 24.02.2022</x:v>
      </x:c>
      <x:c r="B79" s="113"/>
      <x:c r="C79" s="113"/>
      <x:c r="D79" s="113"/>
      <x:c r="E79" s="113"/>
      <x:c r="F79" s="117">
        <x:v>5</x:v>
      </x:c>
      <x:c r="G79" s="114"/>
      <x:c r="H79" s="114"/>
    </x:row>
    <x:row r="80" ht="25" customHeight="1">
      <x:c r="A80" s="115" t="str">
        <x:v>Erste Nennung ab dem 24.02.2022</x:v>
      </x:c>
      <x:c r="B80" s="115"/>
      <x:c r="C80" s="115"/>
      <x:c r="D80" s="115"/>
      <x:c r="E80" s="115"/>
      <x:c r="F80" s="116" t="inlineStr">
        <x:is>
          <x:t xml:space="preserve">2022-02-27</x:t>
        </x:is>
      </x:c>
      <x:c r="G80" s="116"/>
      <x:c r="H80" s="116"/>
    </x:row>
    <x:row r="81" ht="37" customHeight="1">
      <x:c r="A81" s="113" t="str">
        <x:v>Beleg dieser Nennung</x:v>
      </x:c>
      <x:c r="B81" s="113"/>
      <x:c r="C81" s="113"/>
      <x:c r="D81" s="113"/>
      <x:c r="E81" s="113"/>
      <x:c r="F81" s="114" t="inlineStr">
        <x:is>
          <x:t xml:space="preserve">Protokoll 20/19, Rede ID201901400, Satz 36</x:t>
        </x:is>
      </x:c>
      <x:c r="G81" s="114"/>
      <x:c r="H81" s="114"/>
    </x:row>
  </x:sheetData>
  <x:mergeCells>
    <x:mergeCell ref="A28:F28"/>
    <x:mergeCell ref="A43:F43"/>
    <x:mergeCell ref="A45:E45"/>
    <x:mergeCell ref="A72:H72"/>
    <x:mergeCell ref="A75:H75"/>
    <x:mergeCell ref="A76:E76"/>
    <x:mergeCell ref="F76:H76"/>
    <x:mergeCell ref="A77:E77"/>
    <x:mergeCell ref="F77:H77"/>
    <x:mergeCell ref="A78:E78"/>
    <x:mergeCell ref="F78:H78"/>
    <x:mergeCell ref="A79:E79"/>
    <x:mergeCell ref="F79:H79"/>
    <x:mergeCell ref="A80:E80"/>
    <x:mergeCell ref="F80:H80"/>
    <x:mergeCell ref="A81:E81"/>
    <x:mergeCell ref="F81:H81"/>
  </x:mergeCells>
  <x:pageMargins left="0.7" right="0.7" top="0.75" bottom="0.75" header="0.3" footer="0.3"/>
</x:worksheet>
</file>

<file path=xl/worksheets/sheet7.xml><?xml version="1.0" encoding="utf-8"?>
<x:worksheet xmlns:r="http://schemas.openxmlformats.org/officeDocument/2006/relationships"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22" hidden="0" customWidth="1"/>
    <x:col min="2" max="2" width="18.889999389648438" hidden="0" customWidth="1"/>
    <x:col min="3" max="3" width="13.890000343322754" hidden="0" customWidth="1"/>
    <x:col min="4" max="4" width="15" hidden="0" customWidth="1"/>
    <x:col min="5" max="5" width="14.4399995803833" hidden="0" customWidth="1"/>
    <x:col min="6" max="6" width="15.5600004196167" hidden="0" customWidth="1"/>
    <x:col min="7" max="7" width="16.670000076293945" hidden="0" customWidth="1"/>
    <x:col min="8" max="8" width="14.4399995803833" hidden="0" customWidth="1"/>
    <x:col min="9" max="9" width="16.110000610351562" hidden="0" customWidth="1"/>
    <x:col min="10" max="10" width="30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8" customHeight="1">
      <x:c r="A2" s="2" t="str">
        <x:v>Agrardiesel: Monate, Fraktionen und Sitzungstag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2" customHeight="1">
      <x:c r="A3" s="4" t="str">
        <x:v>Vollständige Kategorie G7. Monatsanteile an A&amp;E und an den Agrardieselsätzen des Jahres sind getrennt ausgewiesen.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2" customHeight="1">
      <x:c r="A4" s="4" t="inlineStr">
        <x:is>
          <x:t xml:space="preserve">FDP 2025 bleibt mit absoluten Zahlen sichtbar; Prozentwerte werden wegen der kleinen A&amp;E-Basis nicht ausgewiesen.</x:t>
        </x:is>
      </x:c>
      <x:c r="B4" s="1"/>
      <x:c r="C4" s="1"/>
      <x:c r="D4" s="1"/>
      <x:c r="E4" s="1"/>
      <x:c r="F4" s="1"/>
      <x:c r="G4" s="1"/>
      <x:c r="H4" s="1"/>
      <x:c r="I4" s="1"/>
      <x:c r="J4" s="1"/>
    </x:row>
    <x:row r="5" ht="22" customHeight="1">
      <x:c r="A5" s="4" t="inlineStr">
        <x:is>
          <x:t xml:space="preserve">Kalendermonate ohne A&amp;E-Sätze: 0 Treffer, Quote n.a. Politische Zuordnungen werden aus der reparierten Quelle übernommen.</x:t>
        </x:is>
      </x:c>
      <x:c r="B5" s="1"/>
      <x:c r="C5" s="1"/>
      <x:c r="D5" s="1"/>
      <x:c r="E5" s="1"/>
      <x:c r="F5" s="1"/>
      <x:c r="G5" s="1"/>
      <x:c r="H5" s="1"/>
      <x:c r="I5" s="1"/>
      <x:c r="J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26" customHeight="1">
      <x:c r="A8" s="10" t="inlineStr">
        <x:is>
          <x:t xml:space="preserve">2023–2025: alle 36 Kalendermonate</x:t>
        </x:is>
      </x:c>
      <x:c r="B8" s="1"/>
      <x:c r="C8" s="1"/>
      <x:c r="D8" s="1"/>
      <x:c r="E8" s="1"/>
      <x:c r="F8" s="1"/>
      <x:c r="G8" s="1"/>
      <x:c r="H8" s="1"/>
      <x:c r="I8" s="1"/>
      <x:c r="J8" s="1"/>
    </x:row>
    <x:row r="9" ht="64" customHeight="1">
      <x:c r="A9" s="11" t="inlineStr">
        <x:is>
          <x:t xml:space="preserve">Monat</x:t>
        </x:is>
      </x:c>
      <x:c r="B9" s="20" t="inlineStr">
        <x:is>
          <x:t xml:space="preserve">A&amp;E-Sätze (Nenner)</x:t>
        </x:is>
      </x:c>
      <x:c r="C9" s="20" t="inlineStr">
        <x:is>
          <x:t xml:space="preserve">Agrardiesel: Sätze</x:t>
        </x:is>
      </x:c>
      <x:c r="D9" s="20" t="inlineStr">
        <x:is>
          <x:t xml:space="preserve">Agrardiesel: Beiträge</x:t>
        </x:is>
      </x:c>
      <x:c r="E9" s="20" t="inlineStr">
        <x:is>
          <x:t xml:space="preserve">Agrardiesel: Tage</x:t>
        </x:is>
      </x:c>
      <x:c r="F9" s="20" t="inlineStr">
        <x:is>
          <x:t xml:space="preserve">Agrardiesel / A&amp;E</x:t>
        </x:is>
      </x:c>
      <x:c r="G9" s="64" t="str">
        <x:v>G7 im Jahr (Nenner)</x:v>
      </x:c>
      <x:c r="H9" s="64" t="str">
        <x:v>Anteil am G7-Jahr</x:v>
      </x:c>
      <x:c r="I9"/>
      <x:c r="J9"/>
    </x:row>
    <x:row r="10" ht="24" customHeight="1">
      <x:c r="A10" s="13" t="inlineStr">
        <x:is>
          <x:t xml:space="preserve">2023-01</x:t>
        </x:is>
      </x:c>
      <x:c r="B10" s="14">
        <x:v>443</x:v>
      </x:c>
      <x:c r="C10" s="14">
        <x:v>1</x:v>
      </x:c>
      <x:c r="D10" s="14">
        <x:v>1</x:v>
      </x:c>
      <x:c r="E10" s="14">
        <x:v>1</x:v>
      </x:c>
      <x:c r="F10" s="22">
        <x:f>IF(B10=0,"n.a.",C10/B10)</x:f>
        <x:v>0.002257336343115124</x:v>
      </x:c>
      <x:c r="G10">
        <x:v>15</x:v>
      </x:c>
      <x:c r="H10" s="65">
        <x:f>IF(G10=0,"n.a.",C10/G10)</x:f>
        <x:v>0.06666666666666667</x:v>
      </x:c>
      <x:c r="I10"/>
      <x:c r="J10"/>
    </x:row>
    <x:row r="11" ht="24" customHeight="1">
      <x:c r="A11" s="15" t="inlineStr">
        <x:is>
          <x:t xml:space="preserve">2023-02</x:t>
        </x:is>
      </x:c>
      <x:c r="B11" s="16">
        <x:v>26</x:v>
      </x:c>
      <x:c r="C11" s="16">
        <x:v>0</x:v>
      </x:c>
      <x:c r="D11" s="16">
        <x:v>0</x:v>
      </x:c>
      <x:c r="E11" s="16">
        <x:v>0</x:v>
      </x:c>
      <x:c r="F11" s="25">
        <x:f>IF(B11=0,"n.a.",C11/B11)</x:f>
        <x:v>0.0</x:v>
      </x:c>
      <x:c r="G11">
        <x:v>15</x:v>
      </x:c>
      <x:c r="H11" s="65">
        <x:f>IF(G11=0,"n.a.",C11/G11)</x:f>
        <x:v>0.0</x:v>
      </x:c>
      <x:c r="I11"/>
      <x:c r="J11"/>
    </x:row>
    <x:row r="12" ht="24" customHeight="1">
      <x:c r="A12" s="13" t="inlineStr">
        <x:is>
          <x:t xml:space="preserve">2023-03</x:t>
        </x:is>
      </x:c>
      <x:c r="B12" s="14">
        <x:v>469</x:v>
      </x:c>
      <x:c r="C12" s="14">
        <x:v>2</x:v>
      </x:c>
      <x:c r="D12" s="14">
        <x:v>2</x:v>
      </x:c>
      <x:c r="E12" s="14">
        <x:v>2</x:v>
      </x:c>
      <x:c r="F12" s="22">
        <x:f>IF(B12=0,"n.a.",C12/B12)</x:f>
        <x:v>0.0042643923240938165</x:v>
      </x:c>
      <x:c r="G12">
        <x:v>15</x:v>
      </x:c>
      <x:c r="H12" s="65">
        <x:f>IF(G12=0,"n.a.",C12/G12)</x:f>
        <x:v>0.13333333333333333</x:v>
      </x:c>
      <x:c r="I12"/>
      <x:c r="J12"/>
    </x:row>
    <x:row r="13" ht="24" customHeight="1">
      <x:c r="A13" s="15" t="inlineStr">
        <x:is>
          <x:t xml:space="preserve">2023-04</x:t>
        </x:is>
      </x:c>
      <x:c r="B13" s="16">
        <x:v>549</x:v>
      </x:c>
      <x:c r="C13" s="16">
        <x:v>1</x:v>
      </x:c>
      <x:c r="D13" s="16">
        <x:v>1</x:v>
      </x:c>
      <x:c r="E13" s="16">
        <x:v>1</x:v>
      </x:c>
      <x:c r="F13" s="25">
        <x:f>IF(B13=0,"n.a.",C13/B13)</x:f>
        <x:v>0.0018214936247723133</x:v>
      </x:c>
      <x:c r="G13">
        <x:v>15</x:v>
      </x:c>
      <x:c r="H13" s="65">
        <x:f>IF(G13=0,"n.a.",C13/G13)</x:f>
        <x:v>0.06666666666666667</x:v>
      </x:c>
      <x:c r="I13"/>
      <x:c r="J13"/>
    </x:row>
    <x:row r="14" ht="24" customHeight="1">
      <x:c r="A14" s="13" t="inlineStr">
        <x:is>
          <x:t xml:space="preserve">2023-05</x:t>
        </x:is>
      </x:c>
      <x:c r="B14" s="14">
        <x:v>243</x:v>
      </x:c>
      <x:c r="C14" s="14">
        <x:v>0</x:v>
      </x:c>
      <x:c r="D14" s="14">
        <x:v>0</x:v>
      </x:c>
      <x:c r="E14" s="14">
        <x:v>0</x:v>
      </x:c>
      <x:c r="F14" s="22">
        <x:f>IF(B14=0,"n.a.",C14/B14)</x:f>
        <x:v>0.0</x:v>
      </x:c>
      <x:c r="G14">
        <x:v>15</x:v>
      </x:c>
      <x:c r="H14" s="65">
        <x:f>IF(G14=0,"n.a.",C14/G14)</x:f>
        <x:v>0.0</x:v>
      </x:c>
      <x:c r="I14"/>
      <x:c r="J14"/>
    </x:row>
    <x:row r="15" ht="24" customHeight="1">
      <x:c r="A15" s="15" t="inlineStr">
        <x:is>
          <x:t xml:space="preserve">2023-06</x:t>
        </x:is>
      </x:c>
      <x:c r="B15" s="16">
        <x:v>554</x:v>
      </x:c>
      <x:c r="C15" s="16">
        <x:v>0</x:v>
      </x:c>
      <x:c r="D15" s="16">
        <x:v>0</x:v>
      </x:c>
      <x:c r="E15" s="16">
        <x:v>0</x:v>
      </x:c>
      <x:c r="F15" s="25">
        <x:f>IF(B15=0,"n.a.",C15/B15)</x:f>
        <x:v>0.0</x:v>
      </x:c>
      <x:c r="G15">
        <x:v>15</x:v>
      </x:c>
      <x:c r="H15" s="65">
        <x:f>IF(G15=0,"n.a.",C15/G15)</x:f>
        <x:v>0.0</x:v>
      </x:c>
      <x:c r="I15"/>
      <x:c r="J15"/>
    </x:row>
    <x:row r="16" ht="24" customHeight="1">
      <x:c r="A16" s="13" t="inlineStr">
        <x:is>
          <x:t xml:space="preserve">2023-07</x:t>
        </x:is>
      </x:c>
      <x:c r="B16" s="14">
        <x:v>14</x:v>
      </x:c>
      <x:c r="C16" s="14">
        <x:v>0</x:v>
      </x:c>
      <x:c r="D16" s="14">
        <x:v>0</x:v>
      </x:c>
      <x:c r="E16" s="14">
        <x:v>0</x:v>
      </x:c>
      <x:c r="F16" s="22">
        <x:f>IF(B16=0,"n.a.",C16/B16)</x:f>
        <x:v>0.0</x:v>
      </x:c>
      <x:c r="G16">
        <x:v>15</x:v>
      </x:c>
      <x:c r="H16" s="65">
        <x:f>IF(G16=0,"n.a.",C16/G16)</x:f>
        <x:v>0.0</x:v>
      </x:c>
      <x:c r="I16"/>
      <x:c r="J16"/>
    </x:row>
    <x:row r="17" ht="24" customHeight="1">
      <x:c r="A17" s="15" t="inlineStr">
        <x:is>
          <x:t xml:space="preserve">2023-08</x:t>
        </x:is>
      </x:c>
      <x:c r="B17" s="16">
        <x:v>0</x:v>
      </x:c>
      <x:c r="C17" s="16">
        <x:v>0</x:v>
      </x:c>
      <x:c r="D17" s="16">
        <x:v>0</x:v>
      </x:c>
      <x:c r="E17" s="16">
        <x:v>0</x:v>
      </x:c>
      <x:c r="F17" s="25" t="str">
        <x:f>IF(B17=0,"n.a.",C17/B17)</x:f>
        <x:v>n.a.</x:v>
      </x:c>
      <x:c r="G17">
        <x:v>15</x:v>
      </x:c>
      <x:c r="H17" s="65">
        <x:f>IF(G17=0,"n.a.",C17/G17)</x:f>
        <x:v>0.0</x:v>
      </x:c>
      <x:c r="I17"/>
      <x:c r="J17"/>
    </x:row>
    <x:row r="18" ht="24" customHeight="1">
      <x:c r="A18" s="13" t="inlineStr">
        <x:is>
          <x:t xml:space="preserve">2023-09</x:t>
        </x:is>
      </x:c>
      <x:c r="B18" s="14">
        <x:v>389</x:v>
      </x:c>
      <x:c r="C18" s="14">
        <x:v>0</x:v>
      </x:c>
      <x:c r="D18" s="14">
        <x:v>0</x:v>
      </x:c>
      <x:c r="E18" s="14">
        <x:v>0</x:v>
      </x:c>
      <x:c r="F18" s="22">
        <x:f>IF(B18=0,"n.a.",C18/B18)</x:f>
        <x:v>0.0</x:v>
      </x:c>
      <x:c r="G18">
        <x:v>15</x:v>
      </x:c>
      <x:c r="H18" s="65">
        <x:f>IF(G18=0,"n.a.",C18/G18)</x:f>
        <x:v>0.0</x:v>
      </x:c>
      <x:c r="I18"/>
      <x:c r="J18"/>
    </x:row>
    <x:row r="19" ht="24" customHeight="1">
      <x:c r="A19" s="15" t="inlineStr">
        <x:is>
          <x:t xml:space="preserve">2023-10</x:t>
        </x:is>
      </x:c>
      <x:c r="B19" s="16">
        <x:v>202</x:v>
      </x:c>
      <x:c r="C19" s="16">
        <x:v>1</x:v>
      </x:c>
      <x:c r="D19" s="16">
        <x:v>1</x:v>
      </x:c>
      <x:c r="E19" s="16">
        <x:v>1</x:v>
      </x:c>
      <x:c r="F19" s="25">
        <x:f>IF(B19=0,"n.a.",C19/B19)</x:f>
        <x:v>0.0049504950495049506</x:v>
      </x:c>
      <x:c r="G19">
        <x:v>15</x:v>
      </x:c>
      <x:c r="H19" s="65">
        <x:f>IF(G19=0,"n.a.",C19/G19)</x:f>
        <x:v>0.06666666666666667</x:v>
      </x:c>
      <x:c r="I19"/>
      <x:c r="J19"/>
    </x:row>
    <x:row r="20" ht="24" customHeight="1">
      <x:c r="A20" s="13" t="inlineStr">
        <x:is>
          <x:t xml:space="preserve">2023-11</x:t>
        </x:is>
      </x:c>
      <x:c r="B20" s="14">
        <x:v>350</x:v>
      </x:c>
      <x:c r="C20" s="14">
        <x:v>0</x:v>
      </x:c>
      <x:c r="D20" s="14">
        <x:v>0</x:v>
      </x:c>
      <x:c r="E20" s="14">
        <x:v>0</x:v>
      </x:c>
      <x:c r="F20" s="22">
        <x:f>IF(B20=0,"n.a.",C20/B20)</x:f>
        <x:v>0.0</x:v>
      </x:c>
      <x:c r="G20">
        <x:v>15</x:v>
      </x:c>
      <x:c r="H20" s="65">
        <x:f>IF(G20=0,"n.a.",C20/G20)</x:f>
        <x:v>0.0</x:v>
      </x:c>
      <x:c r="I20"/>
      <x:c r="J20"/>
    </x:row>
    <x:row r="21" ht="24" customHeight="1">
      <x:c r="A21" s="15" t="inlineStr">
        <x:is>
          <x:t xml:space="preserve">2023-12</x:t>
        </x:is>
      </x:c>
      <x:c r="B21" s="16">
        <x:v>178</x:v>
      </x:c>
      <x:c r="C21" s="16">
        <x:v>10</x:v>
      </x:c>
      <x:c r="D21" s="16">
        <x:v>6</x:v>
      </x:c>
      <x:c r="E21" s="16">
        <x:v>3</x:v>
      </x:c>
      <x:c r="F21" s="25">
        <x:f>IF(B21=0,"n.a.",C21/B21)</x:f>
        <x:v>0.056179775280898875</x:v>
      </x:c>
      <x:c r="G21">
        <x:v>15</x:v>
      </x:c>
      <x:c r="H21" s="65">
        <x:f>IF(G21=0,"n.a.",C21/G21)</x:f>
        <x:v>0.6666666666666666</x:v>
      </x:c>
      <x:c r="I21"/>
      <x:c r="J21"/>
    </x:row>
    <x:row r="22" ht="24" customHeight="1">
      <x:c r="A22" s="13" t="inlineStr">
        <x:is>
          <x:t xml:space="preserve">2024-01</x:t>
        </x:is>
      </x:c>
      <x:c r="B22" s="14">
        <x:v>918</x:v>
      </x:c>
      <x:c r="C22" s="14">
        <x:v>93</x:v>
      </x:c>
      <x:c r="D22" s="14">
        <x:v>44</x:v>
      </x:c>
      <x:c r="E22" s="14">
        <x:v>5</x:v>
      </x:c>
      <x:c r="F22" s="22">
        <x:f>IF(B22=0,"n.a.",C22/B22)</x:f>
        <x:v>0.10130718954248366</x:v>
      </x:c>
      <x:c r="G22">
        <x:v>348</x:v>
      </x:c>
      <x:c r="H22" s="65">
        <x:f>IF(G22=0,"n.a.",C22/G22)</x:f>
        <x:v>0.2672413793103448</x:v>
      </x:c>
      <x:c r="I22"/>
      <x:c r="J22"/>
    </x:row>
    <x:row r="23" ht="24" customHeight="1">
      <x:c r="A23" s="15" t="inlineStr">
        <x:is>
          <x:t xml:space="preserve">2024-02</x:t>
        </x:is>
      </x:c>
      <x:c r="B23" s="16">
        <x:v>703</x:v>
      </x:c>
      <x:c r="C23" s="16">
        <x:v>85</x:v>
      </x:c>
      <x:c r="D23" s="16">
        <x:v>41</x:v>
      </x:c>
      <x:c r="E23" s="16">
        <x:v>5</x:v>
      </x:c>
      <x:c r="F23" s="25">
        <x:f>IF(B23=0,"n.a.",C23/B23)</x:f>
        <x:v>0.12091038406827881</x:v>
      </x:c>
      <x:c r="G23">
        <x:v>348</x:v>
      </x:c>
      <x:c r="H23" s="65">
        <x:f>IF(G23=0,"n.a.",C23/G23)</x:f>
        <x:v>0.2442528735632184</x:v>
      </x:c>
      <x:c r="I23"/>
      <x:c r="J23"/>
    </x:row>
    <x:row r="24" ht="24" customHeight="1">
      <x:c r="A24" s="13" t="inlineStr">
        <x:is>
          <x:t xml:space="preserve">2024-03</x:t>
        </x:is>
      </x:c>
      <x:c r="B24" s="14">
        <x:v>408</x:v>
      </x:c>
      <x:c r="C24" s="14">
        <x:v>102</x:v>
      </x:c>
      <x:c r="D24" s="14">
        <x:v>25</x:v>
      </x:c>
      <x:c r="E24" s="14">
        <x:v>2</x:v>
      </x:c>
      <x:c r="F24" s="22">
        <x:f>IF(B24=0,"n.a.",C24/B24)</x:f>
        <x:v>0.25</x:v>
      </x:c>
      <x:c r="G24">
        <x:v>348</x:v>
      </x:c>
      <x:c r="H24" s="65">
        <x:f>IF(G24=0,"n.a.",C24/G24)</x:f>
        <x:v>0.29310344827586204</x:v>
      </x:c>
      <x:c r="I24"/>
      <x:c r="J24"/>
    </x:row>
    <x:row r="25" ht="24" customHeight="1">
      <x:c r="A25" s="15" t="inlineStr">
        <x:is>
          <x:t xml:space="preserve">2024-04</x:t>
        </x:is>
      </x:c>
      <x:c r="B25" s="16">
        <x:v>363</x:v>
      </x:c>
      <x:c r="C25" s="16">
        <x:v>9</x:v>
      </x:c>
      <x:c r="D25" s="16">
        <x:v>8</x:v>
      </x:c>
      <x:c r="E25" s="16">
        <x:v>2</x:v>
      </x:c>
      <x:c r="F25" s="25">
        <x:f>IF(B25=0,"n.a.",C25/B25)</x:f>
        <x:v>0.024793388429752067</x:v>
      </x:c>
      <x:c r="G25">
        <x:v>348</x:v>
      </x:c>
      <x:c r="H25" s="65">
        <x:f>IF(G25=0,"n.a.",C25/G25)</x:f>
        <x:v>0.02586206896551724</x:v>
      </x:c>
      <x:c r="I25"/>
      <x:c r="J25"/>
    </x:row>
    <x:row r="26" ht="24" customHeight="1">
      <x:c r="A26" s="13" t="inlineStr">
        <x:is>
          <x:t xml:space="preserve">2024-05</x:t>
        </x:is>
      </x:c>
      <x:c r="B26" s="14">
        <x:v>19</x:v>
      </x:c>
      <x:c r="C26" s="14">
        <x:v>0</x:v>
      </x:c>
      <x:c r="D26" s="14">
        <x:v>0</x:v>
      </x:c>
      <x:c r="E26" s="14">
        <x:v>0</x:v>
      </x:c>
      <x:c r="F26" s="22">
        <x:f>IF(B26=0,"n.a.",C26/B26)</x:f>
        <x:v>0.0</x:v>
      </x:c>
      <x:c r="G26">
        <x:v>348</x:v>
      </x:c>
      <x:c r="H26" s="65">
        <x:f>IF(G26=0,"n.a.",C26/G26)</x:f>
        <x:v>0.0</x:v>
      </x:c>
      <x:c r="I26"/>
      <x:c r="J26"/>
    </x:row>
    <x:row r="27" ht="24" customHeight="1">
      <x:c r="A27" s="15" t="inlineStr">
        <x:is>
          <x:t xml:space="preserve">2024-06</x:t>
        </x:is>
      </x:c>
      <x:c r="B27" s="16">
        <x:v>641</x:v>
      </x:c>
      <x:c r="C27" s="16">
        <x:v>33</x:v>
      </x:c>
      <x:c r="D27" s="16">
        <x:v>19</x:v>
      </x:c>
      <x:c r="E27" s="16">
        <x:v>5</x:v>
      </x:c>
      <x:c r="F27" s="25">
        <x:f>IF(B27=0,"n.a.",C27/B27)</x:f>
        <x:v>0.0514820592823713</x:v>
      </x:c>
      <x:c r="G27">
        <x:v>348</x:v>
      </x:c>
      <x:c r="H27" s="65">
        <x:f>IF(G27=0,"n.a.",C27/G27)</x:f>
        <x:v>0.09482758620689655</x:v>
      </x:c>
      <x:c r="I27"/>
      <x:c r="J27"/>
    </x:row>
    <x:row r="28" ht="24" customHeight="1">
      <x:c r="A28" s="13" t="inlineStr">
        <x:is>
          <x:t xml:space="preserve">2024-07</x:t>
        </x:is>
      </x:c>
      <x:c r="B28" s="14">
        <x:v>252</x:v>
      </x:c>
      <x:c r="C28" s="14">
        <x:v>13</x:v>
      </x:c>
      <x:c r="D28" s="14">
        <x:v>9</x:v>
      </x:c>
      <x:c r="E28" s="14">
        <x:v>1</x:v>
      </x:c>
      <x:c r="F28" s="22">
        <x:f>IF(B28=0,"n.a.",C28/B28)</x:f>
        <x:v>0.051587301587301584</x:v>
      </x:c>
      <x:c r="G28">
        <x:v>348</x:v>
      </x:c>
      <x:c r="H28" s="65">
        <x:f>IF(G28=0,"n.a.",C28/G28)</x:f>
        <x:v>0.03735632183908046</x:v>
      </x:c>
      <x:c r="I28"/>
      <x:c r="J28"/>
    </x:row>
    <x:row r="29" ht="24" customHeight="1">
      <x:c r="A29" s="15" t="inlineStr">
        <x:is>
          <x:t xml:space="preserve">2024-08</x:t>
        </x:is>
      </x:c>
      <x:c r="B29" s="16">
        <x:v>0</x:v>
      </x:c>
      <x:c r="C29" s="16">
        <x:v>0</x:v>
      </x:c>
      <x:c r="D29" s="16">
        <x:v>0</x:v>
      </x:c>
      <x:c r="E29" s="16">
        <x:v>0</x:v>
      </x:c>
      <x:c r="F29" s="25" t="str">
        <x:f>IF(B29=0,"n.a.",C29/B29)</x:f>
        <x:v>n.a.</x:v>
      </x:c>
      <x:c r="G29">
        <x:v>348</x:v>
      </x:c>
      <x:c r="H29" s="65">
        <x:f>IF(G29=0,"n.a.",C29/G29)</x:f>
        <x:v>0.0</x:v>
      </x:c>
      <x:c r="I29"/>
      <x:c r="J29"/>
    </x:row>
    <x:row r="30" ht="24" customHeight="1">
      <x:c r="A30" s="13" t="inlineStr">
        <x:is>
          <x:t xml:space="preserve">2024-09</x:t>
        </x:is>
      </x:c>
      <x:c r="B30" s="14">
        <x:v>418</x:v>
      </x:c>
      <x:c r="C30" s="14">
        <x:v>8</x:v>
      </x:c>
      <x:c r="D30" s="14">
        <x:v>6</x:v>
      </x:c>
      <x:c r="E30" s="14">
        <x:v>2</x:v>
      </x:c>
      <x:c r="F30" s="22">
        <x:f>IF(B30=0,"n.a.",C30/B30)</x:f>
        <x:v>0.019138755980861243</x:v>
      </x:c>
      <x:c r="G30">
        <x:v>348</x:v>
      </x:c>
      <x:c r="H30" s="65">
        <x:f>IF(G30=0,"n.a.",C30/G30)</x:f>
        <x:v>0.022988505747126436</x:v>
      </x:c>
      <x:c r="I30"/>
      <x:c r="J30"/>
    </x:row>
    <x:row r="31" ht="24" customHeight="1">
      <x:c r="A31" s="15" t="inlineStr">
        <x:is>
          <x:t xml:space="preserve">2024-10</x:t>
        </x:is>
      </x:c>
      <x:c r="B31" s="16">
        <x:v>66</x:v>
      </x:c>
      <x:c r="C31" s="16">
        <x:v>1</x:v>
      </x:c>
      <x:c r="D31" s="16">
        <x:v>1</x:v>
      </x:c>
      <x:c r="E31" s="16">
        <x:v>1</x:v>
      </x:c>
      <x:c r="F31" s="25">
        <x:f>IF(B31=0,"n.a.",C31/B31)</x:f>
        <x:v>0.015151515151515152</x:v>
      </x:c>
      <x:c r="G31">
        <x:v>348</x:v>
      </x:c>
      <x:c r="H31" s="65">
        <x:f>IF(G31=0,"n.a.",C31/G31)</x:f>
        <x:v>0.0028735632183908046</x:v>
      </x:c>
      <x:c r="I31"/>
      <x:c r="J31"/>
    </x:row>
    <x:row r="32" ht="24" customHeight="1">
      <x:c r="A32" s="13" t="inlineStr">
        <x:is>
          <x:t xml:space="preserve">2024-11</x:t>
        </x:is>
      </x:c>
      <x:c r="B32" s="14">
        <x:v>62</x:v>
      </x:c>
      <x:c r="C32" s="14">
        <x:v>0</x:v>
      </x:c>
      <x:c r="D32" s="14">
        <x:v>0</x:v>
      </x:c>
      <x:c r="E32" s="14">
        <x:v>0</x:v>
      </x:c>
      <x:c r="F32" s="22">
        <x:f>IF(B32=0,"n.a.",C32/B32)</x:f>
        <x:v>0.0</x:v>
      </x:c>
      <x:c r="G32">
        <x:v>348</x:v>
      </x:c>
      <x:c r="H32" s="65">
        <x:f>IF(G32=0,"n.a.",C32/G32)</x:f>
        <x:v>0.0</x:v>
      </x:c>
      <x:c r="I32"/>
      <x:c r="J32"/>
    </x:row>
    <x:row r="33" ht="24" customHeight="1">
      <x:c r="A33" s="15" t="inlineStr">
        <x:is>
          <x:t xml:space="preserve">2024-12</x:t>
        </x:is>
      </x:c>
      <x:c r="B33" s="16">
        <x:v>176</x:v>
      </x:c>
      <x:c r="C33" s="16">
        <x:v>4</x:v>
      </x:c>
      <x:c r="D33" s="16">
        <x:v>4</x:v>
      </x:c>
      <x:c r="E33" s="16">
        <x:v>3</x:v>
      </x:c>
      <x:c r="F33" s="25">
        <x:f>IF(B33=0,"n.a.",C33/B33)</x:f>
        <x:v>0.022727272727272728</x:v>
      </x:c>
      <x:c r="G33">
        <x:v>348</x:v>
      </x:c>
      <x:c r="H33" s="65">
        <x:f>IF(G33=0,"n.a.",C33/G33)</x:f>
        <x:v>0.011494252873563218</x:v>
      </x:c>
      <x:c r="I33"/>
      <x:c r="J33"/>
    </x:row>
    <x:row r="34" ht="24" customHeight="1">
      <x:c r="A34" s="13" t="inlineStr">
        <x:is>
          <x:t xml:space="preserve">2025-01</x:t>
        </x:is>
      </x:c>
      <x:c r="B34" s="14">
        <x:v>110</x:v>
      </x:c>
      <x:c r="C34" s="14">
        <x:v>7</x:v>
      </x:c>
      <x:c r="D34" s="14">
        <x:v>4</x:v>
      </x:c>
      <x:c r="E34" s="14">
        <x:v>1</x:v>
      </x:c>
      <x:c r="F34" s="22">
        <x:f>IF(B34=0,"n.a.",C34/B34)</x:f>
        <x:v>0.06363636363636363</x:v>
      </x:c>
      <x:c r="G34">
        <x:v>107</x:v>
      </x:c>
      <x:c r="H34" s="65">
        <x:f>IF(G34=0,"n.a.",C34/G34)</x:f>
        <x:v>0.06542056074766354</x:v>
      </x:c>
      <x:c r="I34"/>
      <x:c r="J34"/>
    </x:row>
    <x:row r="35" ht="24" customHeight="1">
      <x:c r="A35" s="15" t="inlineStr">
        <x:is>
          <x:t xml:space="preserve">2025-02</x:t>
        </x:is>
      </x:c>
      <x:c r="B35" s="16">
        <x:v>7</x:v>
      </x:c>
      <x:c r="C35" s="16">
        <x:v>2</x:v>
      </x:c>
      <x:c r="D35" s="16">
        <x:v>1</x:v>
      </x:c>
      <x:c r="E35" s="16">
        <x:v>1</x:v>
      </x:c>
      <x:c r="F35" s="25">
        <x:f>IF(B35=0,"n.a.",C35/B35)</x:f>
        <x:v>0.2857142857142857</x:v>
      </x:c>
      <x:c r="G35">
        <x:v>107</x:v>
      </x:c>
      <x:c r="H35" s="65">
        <x:f>IF(G35=0,"n.a.",C35/G35)</x:f>
        <x:v>0.018691588785046728</x:v>
      </x:c>
      <x:c r="I35"/>
      <x:c r="J35"/>
    </x:row>
    <x:row r="36" ht="24" customHeight="1">
      <x:c r="A36" s="13" t="inlineStr">
        <x:is>
          <x:t xml:space="preserve">2025-03</x:t>
        </x:is>
      </x:c>
      <x:c r="B36" s="14">
        <x:v>5</x:v>
      </x:c>
      <x:c r="C36" s="14">
        <x:v>1</x:v>
      </x:c>
      <x:c r="D36" s="14">
        <x:v>1</x:v>
      </x:c>
      <x:c r="E36" s="14">
        <x:v>1</x:v>
      </x:c>
      <x:c r="F36" s="22">
        <x:f>IF(B36=0,"n.a.",C36/B36)</x:f>
        <x:v>0.2</x:v>
      </x:c>
      <x:c r="G36">
        <x:v>107</x:v>
      </x:c>
      <x:c r="H36" s="65">
        <x:f>IF(G36=0,"n.a.",C36/G36)</x:f>
        <x:v>0.009345794392523364</x:v>
      </x:c>
      <x:c r="I36"/>
      <x:c r="J36"/>
    </x:row>
    <x:row r="37" ht="24" customHeight="1">
      <x:c r="A37" s="15" t="inlineStr">
        <x:is>
          <x:t xml:space="preserve">2025-04</x:t>
        </x:is>
      </x:c>
      <x:c r="B37" s="16">
        <x:v>0</x:v>
      </x:c>
      <x:c r="C37" s="16">
        <x:v>0</x:v>
      </x:c>
      <x:c r="D37" s="16">
        <x:v>0</x:v>
      </x:c>
      <x:c r="E37" s="16">
        <x:v>0</x:v>
      </x:c>
      <x:c r="F37" s="25" t="str">
        <x:f>IF(B37=0,"n.a.",C37/B37)</x:f>
        <x:v>n.a.</x:v>
      </x:c>
      <x:c r="G37">
        <x:v>107</x:v>
      </x:c>
      <x:c r="H37" s="65">
        <x:f>IF(G37=0,"n.a.",C37/G37)</x:f>
        <x:v>0.0</x:v>
      </x:c>
      <x:c r="I37"/>
      <x:c r="J37"/>
    </x:row>
    <x:row r="38" ht="24" customHeight="1">
      <x:c r="A38" s="13" t="inlineStr">
        <x:is>
          <x:t xml:space="preserve">2025-05</x:t>
        </x:is>
      </x:c>
      <x:c r="B38" s="14">
        <x:v>417</x:v>
      </x:c>
      <x:c r="C38" s="14">
        <x:v>10</x:v>
      </x:c>
      <x:c r="D38" s="14">
        <x:v>7</x:v>
      </x:c>
      <x:c r="E38" s="14">
        <x:v>1</x:v>
      </x:c>
      <x:c r="F38" s="22">
        <x:f>IF(B38=0,"n.a.",C38/B38)</x:f>
        <x:v>0.023980815347721823</x:v>
      </x:c>
      <x:c r="G38">
        <x:v>107</x:v>
      </x:c>
      <x:c r="H38" s="65">
        <x:f>IF(G38=0,"n.a.",C38/G38)</x:f>
        <x:v>0.09345794392523364</x:v>
      </x:c>
      <x:c r="I38"/>
      <x:c r="J38"/>
    </x:row>
    <x:row r="39" ht="24" customHeight="1">
      <x:c r="A39" s="15" t="inlineStr">
        <x:is>
          <x:t xml:space="preserve">2025-06</x:t>
        </x:is>
      </x:c>
      <x:c r="B39" s="16">
        <x:v>355</x:v>
      </x:c>
      <x:c r="C39" s="16">
        <x:v>9</x:v>
      </x:c>
      <x:c r="D39" s="16">
        <x:v>7</x:v>
      </x:c>
      <x:c r="E39" s="16">
        <x:v>3</x:v>
      </x:c>
      <x:c r="F39" s="25">
        <x:f>IF(B39=0,"n.a.",C39/B39)</x:f>
        <x:v>0.02535211267605634</x:v>
      </x:c>
      <x:c r="G39">
        <x:v>107</x:v>
      </x:c>
      <x:c r="H39" s="65">
        <x:f>IF(G39=0,"n.a.",C39/G39)</x:f>
        <x:v>0.08411214953271028</x:v>
      </x:c>
      <x:c r="I39"/>
      <x:c r="J39"/>
    </x:row>
    <x:row r="40" ht="24" customHeight="1">
      <x:c r="A40" s="13" t="inlineStr">
        <x:is>
          <x:t xml:space="preserve">2025-07</x:t>
        </x:is>
      </x:c>
      <x:c r="B40" s="14">
        <x:v>294</x:v>
      </x:c>
      <x:c r="C40" s="14">
        <x:v>15</x:v>
      </x:c>
      <x:c r="D40" s="14">
        <x:v>7</x:v>
      </x:c>
      <x:c r="E40" s="14">
        <x:v>2</x:v>
      </x:c>
      <x:c r="F40" s="22">
        <x:f>IF(B40=0,"n.a.",C40/B40)</x:f>
        <x:v>0.05102040816326531</x:v>
      </x:c>
      <x:c r="G40">
        <x:v>107</x:v>
      </x:c>
      <x:c r="H40" s="65">
        <x:f>IF(G40=0,"n.a.",C40/G40)</x:f>
        <x:v>0.14018691588785046</x:v>
      </x:c>
      <x:c r="I40"/>
      <x:c r="J40"/>
    </x:row>
    <x:row r="41" ht="24" customHeight="1">
      <x:c r="A41" s="15" t="inlineStr">
        <x:is>
          <x:t xml:space="preserve">2025-08</x:t>
        </x:is>
      </x:c>
      <x:c r="B41" s="16">
        <x:v>0</x:v>
      </x:c>
      <x:c r="C41" s="16">
        <x:v>0</x:v>
      </x:c>
      <x:c r="D41" s="16">
        <x:v>0</x:v>
      </x:c>
      <x:c r="E41" s="16">
        <x:v>0</x:v>
      </x:c>
      <x:c r="F41" s="25" t="str">
        <x:f>IF(B41=0,"n.a.",C41/B41)</x:f>
        <x:v>n.a.</x:v>
      </x:c>
      <x:c r="G41">
        <x:v>107</x:v>
      </x:c>
      <x:c r="H41" s="65">
        <x:f>IF(G41=0,"n.a.",C41/G41)</x:f>
        <x:v>0.0</x:v>
      </x:c>
      <x:c r="I41"/>
      <x:c r="J41"/>
    </x:row>
    <x:row r="42" ht="24" customHeight="1">
      <x:c r="A42" s="13" t="inlineStr">
        <x:is>
          <x:t xml:space="preserve">2025-09</x:t>
        </x:is>
      </x:c>
      <x:c r="B42" s="14">
        <x:v>559</x:v>
      </x:c>
      <x:c r="C42" s="14">
        <x:v>18</x:v>
      </x:c>
      <x:c r="D42" s="14">
        <x:v>15</x:v>
      </x:c>
      <x:c r="E42" s="14">
        <x:v>6</x:v>
      </x:c>
      <x:c r="F42" s="22">
        <x:f>IF(B42=0,"n.a.",C42/B42)</x:f>
        <x:v>0.03220035778175313</x:v>
      </x:c>
      <x:c r="G42">
        <x:v>107</x:v>
      </x:c>
      <x:c r="H42" s="65">
        <x:f>IF(G42=0,"n.a.",C42/G42)</x:f>
        <x:v>0.16822429906542055</x:v>
      </x:c>
      <x:c r="I42"/>
      <x:c r="J42"/>
    </x:row>
    <x:row r="43" ht="24" customHeight="1">
      <x:c r="A43" s="15" t="inlineStr">
        <x:is>
          <x:t xml:space="preserve">2025-10</x:t>
        </x:is>
      </x:c>
      <x:c r="B43" s="16">
        <x:v>59</x:v>
      </x:c>
      <x:c r="C43" s="16">
        <x:v>0</x:v>
      </x:c>
      <x:c r="D43" s="16">
        <x:v>0</x:v>
      </x:c>
      <x:c r="E43" s="16">
        <x:v>0</x:v>
      </x:c>
      <x:c r="F43" s="25">
        <x:f>IF(B43=0,"n.a.",C43/B43)</x:f>
        <x:v>0.0</x:v>
      </x:c>
      <x:c r="G43">
        <x:v>107</x:v>
      </x:c>
      <x:c r="H43" s="65">
        <x:f>IF(G43=0,"n.a.",C43/G43)</x:f>
        <x:v>0.0</x:v>
      </x:c>
      <x:c r="I43"/>
      <x:c r="J43"/>
    </x:row>
    <x:row r="44" ht="24" customHeight="1">
      <x:c r="A44" s="13" t="inlineStr">
        <x:is>
          <x:t xml:space="preserve">2025-11</x:t>
        </x:is>
      </x:c>
      <x:c r="B44" s="14">
        <x:v>441</x:v>
      </x:c>
      <x:c r="C44" s="14">
        <x:v>43</x:v>
      </x:c>
      <x:c r="D44" s="14">
        <x:v>19</x:v>
      </x:c>
      <x:c r="E44" s="14">
        <x:v>6</x:v>
      </x:c>
      <x:c r="F44" s="22">
        <x:f>IF(B44=0,"n.a.",C44/B44)</x:f>
        <x:v>0.09750566893424037</x:v>
      </x:c>
      <x:c r="G44">
        <x:v>107</x:v>
      </x:c>
      <x:c r="H44" s="65">
        <x:f>IF(G44=0,"n.a.",C44/G44)</x:f>
        <x:v>0.40186915887850466</x:v>
      </x:c>
      <x:c r="I44"/>
      <x:c r="J44"/>
    </x:row>
    <x:row r="45" ht="24" customHeight="1">
      <x:c r="A45" s="34" t="inlineStr">
        <x:is>
          <x:t xml:space="preserve">2025-12</x:t>
        </x:is>
      </x:c>
      <x:c r="B45" s="35">
        <x:v>32</x:v>
      </x:c>
      <x:c r="C45" s="35">
        <x:v>2</x:v>
      </x:c>
      <x:c r="D45" s="35">
        <x:v>2</x:v>
      </x:c>
      <x:c r="E45" s="35">
        <x:v>1</x:v>
      </x:c>
      <x:c r="F45" s="36">
        <x:f>IF(B45=0,"n.a.",C45/B45)</x:f>
        <x:v>0.0625</x:v>
      </x:c>
      <x:c r="G45">
        <x:v>107</x:v>
      </x:c>
      <x:c r="H45" s="65">
        <x:f>IF(G45=0,"n.a.",C45/G45)</x:f>
        <x:v>0.018691588785046728</x:v>
      </x:c>
      <x:c r="I45"/>
      <x:c r="J45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 ht="26" customHeight="1">
      <x:c r="A48" s="10" t="inlineStr">
        <x:is>
          <x:t xml:space="preserve">2024 und 2025 nach Fraktion / politischer Zuordnung</x:t>
        </x:is>
      </x:c>
      <x:c r="B48" s="1"/>
      <x:c r="C48" s="1"/>
      <x:c r="D48" s="1"/>
      <x:c r="E48" s="1"/>
      <x:c r="F48" s="1"/>
      <x:c r="G48" s="1"/>
      <x:c r="H48" s="1"/>
      <x:c r="I48" s="1"/>
      <x:c r="J48" s="1"/>
    </x:row>
    <x:row r="49" ht="64" customHeight="1">
      <x:c r="A49" s="11" t="inlineStr">
        <x:is>
          <x:t xml:space="preserve">Jahr</x:t>
        </x:is>
      </x:c>
      <x:c r="B49" s="20" t="inlineStr">
        <x:is>
          <x:t xml:space="preserve">Fraktion / Zuordnung</x:t>
        </x:is>
      </x:c>
      <x:c r="C49" s="20" t="inlineStr">
        <x:is>
          <x:t xml:space="preserve">Eigene A&amp;E-Sätze (Nenner)</x:t>
        </x:is>
      </x:c>
      <x:c r="D49" s="20" t="inlineStr">
        <x:is>
          <x:t xml:space="preserve">Agrardiesel: Sätze</x:t>
        </x:is>
      </x:c>
      <x:c r="E49" s="20" t="inlineStr">
        <x:is>
          <x:t xml:space="preserve">Agrardiesel: Beiträge</x:t>
        </x:is>
      </x:c>
      <x:c r="F49" s="20" t="inlineStr">
        <x:is>
          <x:t xml:space="preserve">Agrardiesel: Tage</x:t>
        </x:is>
      </x:c>
      <x:c r="G49" s="20" t="inlineStr">
        <x:is>
          <x:t xml:space="preserve">Agrardiesel / eigene A&amp;E</x:t>
        </x:is>
      </x:c>
      <x:c r="H49" s="64" t="str">
        <x:v>Ökonomiesätze</x:v>
      </x:c>
      <x:c r="I49" s="64" t="str">
        <x:v>G7 / Ökonomie</x:v>
      </x:c>
      <x:c r="J49"/>
    </x:row>
    <x:row r="50" ht="30" customHeight="1">
      <x:c r="A50" s="21" t="n">
        <x:v>2024</x:v>
      </x:c>
      <x:c r="B50" s="66" t="inlineStr">
        <x:is>
          <x:t xml:space="preserve">CDU/CSU</x:t>
        </x:is>
      </x:c>
      <x:c r="C50" s="14">
        <x:v>1054</x:v>
      </x:c>
      <x:c r="D50" s="14">
        <x:v>163</x:v>
      </x:c>
      <x:c r="E50" s="14">
        <x:v>65</x:v>
      </x:c>
      <x:c r="F50" s="14">
        <x:v>18</x:v>
      </x:c>
      <x:c r="G50" s="22">
        <x:f>IF(C50=0,"n.a.",D50/C50)</x:f>
        <x:v>0.15464895635673626</x:v>
      </x:c>
      <x:c r="H50">
        <x:v>374</x:v>
      </x:c>
      <x:c r="I50" s="65">
        <x:f>IF(H50=0,"n.a.",D50/H50)</x:f>
        <x:v>0.4358288770053476</x:v>
      </x:c>
      <x:c r="J50"/>
    </x:row>
    <x:row r="51" ht="30" customHeight="1">
      <x:c r="A51" s="24" t="n">
        <x:v>2024</x:v>
      </x:c>
      <x:c r="B51" s="67" t="inlineStr">
        <x:is>
          <x:t xml:space="preserve">SPD</x:t>
        </x:is>
      </x:c>
      <x:c r="C51" s="16">
        <x:v>1037</x:v>
      </x:c>
      <x:c r="D51" s="16">
        <x:v>57</x:v>
      </x:c>
      <x:c r="E51" s="16">
        <x:v>25</x:v>
      </x:c>
      <x:c r="F51" s="16">
        <x:v>10</x:v>
      </x:c>
      <x:c r="G51" s="25">
        <x:f>IF(C51=0,"n.a.",D51/C51)</x:f>
        <x:v>0.054966248794599805</x:v>
      </x:c>
      <x:c r="H51">
        <x:v>256</x:v>
      </x:c>
      <x:c r="I51" s="65">
        <x:f>IF(H51=0,"n.a.",D51/H51)</x:f>
        <x:v>0.22265625</x:v>
      </x:c>
      <x:c r="J51"/>
    </x:row>
    <x:row r="52" ht="30" customHeight="1">
      <x:c r="A52" s="21" t="n">
        <x:v>2024</x:v>
      </x:c>
      <x:c r="B52" s="66" t="inlineStr">
        <x:is>
          <x:t xml:space="preserve">BÜNDNIS 90/DIE GRÜNEN</x:t>
        </x:is>
      </x:c>
      <x:c r="C52" s="14">
        <x:v>716</x:v>
      </x:c>
      <x:c r="D52" s="14">
        <x:v>31</x:v>
      </x:c>
      <x:c r="E52" s="14">
        <x:v>18</x:v>
      </x:c>
      <x:c r="F52" s="14">
        <x:v>12</x:v>
      </x:c>
      <x:c r="G52" s="22">
        <x:f>IF(C52=0,"n.a.",D52/C52)</x:f>
        <x:v>0.04329608938547486</x:v>
      </x:c>
      <x:c r="H52">
        <x:v>200</x:v>
      </x:c>
      <x:c r="I52" s="65">
        <x:f>IF(H52=0,"n.a.",D52/H52)</x:f>
        <x:v>0.155</x:v>
      </x:c>
      <x:c r="J52"/>
    </x:row>
    <x:row r="53" ht="30" customHeight="1">
      <x:c r="A53" s="24" t="n">
        <x:v>2024</x:v>
      </x:c>
      <x:c r="B53" s="67" t="inlineStr">
        <x:is>
          <x:t xml:space="preserve">FDP</x:t>
        </x:is>
      </x:c>
      <x:c r="C53" s="16">
        <x:v>438</x:v>
      </x:c>
      <x:c r="D53" s="16">
        <x:v>37</x:v>
      </x:c>
      <x:c r="E53" s="16">
        <x:v>15</x:v>
      </x:c>
      <x:c r="F53" s="16">
        <x:v>8</x:v>
      </x:c>
      <x:c r="G53" s="25">
        <x:f>IF(C53=0,"n.a.",D53/C53)</x:f>
        <x:v>0.08447488584474885</x:v>
      </x:c>
      <x:c r="H53">
        <x:v>131</x:v>
      </x:c>
      <x:c r="I53" s="65">
        <x:f>IF(H53=0,"n.a.",D53/H53)</x:f>
        <x:v>0.2824427480916031</x:v>
      </x:c>
      <x:c r="J53"/>
    </x:row>
    <x:row r="54" ht="30" customHeight="1">
      <x:c r="A54" s="21" t="n">
        <x:v>2024</x:v>
      </x:c>
      <x:c r="B54" s="66" t="inlineStr">
        <x:is>
          <x:t xml:space="preserve">AfD</x:t>
        </x:is>
      </x:c>
      <x:c r="C54" s="14">
        <x:v>529</x:v>
      </x:c>
      <x:c r="D54" s="14">
        <x:v>51</x:v>
      </x:c>
      <x:c r="E54" s="14">
        <x:v>26</x:v>
      </x:c>
      <x:c r="F54" s="14">
        <x:v>13</x:v>
      </x:c>
      <x:c r="G54" s="22">
        <x:f>IF(C54=0,"n.a.",D54/C54)</x:f>
        <x:v>0.09640831758034027</x:v>
      </x:c>
      <x:c r="H54">
        <x:v>177</x:v>
      </x:c>
      <x:c r="I54" s="65">
        <x:f>IF(H54=0,"n.a.",D54/H54)</x:f>
        <x:v>0.288135593220339</x:v>
      </x:c>
      <x:c r="J54"/>
    </x:row>
    <x:row r="55" ht="30" customHeight="1">
      <x:c r="A55" s="24" t="n">
        <x:v>2024</x:v>
      </x:c>
      <x:c r="B55" s="67" t="inlineStr">
        <x:is>
          <x:t xml:space="preserve">DIE LINKE</x:t>
        </x:is>
      </x:c>
      <x:c r="C55" s="16">
        <x:v>132</x:v>
      </x:c>
      <x:c r="D55" s="16">
        <x:v>3</x:v>
      </x:c>
      <x:c r="E55" s="16">
        <x:v>2</x:v>
      </x:c>
      <x:c r="F55" s="16">
        <x:v>2</x:v>
      </x:c>
      <x:c r="G55" s="25">
        <x:f>IF(C55=0,"n.a.",D55/C55)</x:f>
        <x:v>0.022727272727272728</x:v>
      </x:c>
      <x:c r="H55">
        <x:v>58</x:v>
      </x:c>
      <x:c r="I55" s="65">
        <x:f>IF(H55=0,"n.a.",D55/H55)</x:f>
        <x:v>0.05172413793103448</x:v>
      </x:c>
      <x:c r="J55"/>
    </x:row>
    <x:row r="56" ht="30" customHeight="1">
      <x:c r="A56" s="21" t="n">
        <x:v>2024</x:v>
      </x:c>
      <x:c r="B56" s="66" t="inlineStr">
        <x:is>
          <x:t xml:space="preserve">BSW</x:t>
        </x:is>
      </x:c>
      <x:c r="C56" s="14">
        <x:v>32</x:v>
      </x:c>
      <x:c r="D56" s="14">
        <x:v>4</x:v>
      </x:c>
      <x:c r="E56" s="14">
        <x:v>4</x:v>
      </x:c>
      <x:c r="F56" s="14">
        <x:v>4</x:v>
      </x:c>
      <x:c r="G56" s="22">
        <x:f>IF(C56=0,"n.a.",D56/C56)</x:f>
        <x:v>0.125</x:v>
      </x:c>
      <x:c r="H56">
        <x:v>14</x:v>
      </x:c>
      <x:c r="I56" s="65">
        <x:f>IF(H56=0,"n.a.",D56/H56)</x:f>
        <x:v>0.2857142857142857</x:v>
      </x:c>
      <x:c r="J56"/>
    </x:row>
    <x:row r="57" ht="30" customHeight="1">
      <x:c r="A57" s="24" t="n">
        <x:v>2024</x:v>
      </x:c>
      <x:c r="B57" s="67" t="inlineStr">
        <x:is>
          <x:t xml:space="preserve">fraktionslos</x:t>
        </x:is>
      </x:c>
      <x:c r="C57" s="16">
        <x:v>88</x:v>
      </x:c>
      <x:c r="D57" s="16">
        <x:v>2</x:v>
      </x:c>
      <x:c r="E57" s="16">
        <x:v>2</x:v>
      </x:c>
      <x:c r="F57" s="16">
        <x:v>2</x:v>
      </x:c>
      <x:c r="G57" s="25">
        <x:f>IF(C57=0,"n.a.",D57/C57)</x:f>
        <x:v>0.022727272727272728</x:v>
      </x:c>
      <x:c r="H57">
        <x:v>32</x:v>
      </x:c>
      <x:c r="I57" s="65">
        <x:f>IF(H57=0,"n.a.",D57/H57)</x:f>
        <x:v>0.0625</x:v>
      </x:c>
      <x:c r="J57"/>
    </x:row>
    <x:row r="58" ht="30" customHeight="1">
      <x:c r="A58" s="21" t="n">
        <x:v>2025</x:v>
      </x:c>
      <x:c r="B58" s="66" t="inlineStr">
        <x:is>
          <x:t xml:space="preserve">CDU/CSU</x:t>
        </x:is>
      </x:c>
      <x:c r="C58" s="14">
        <x:v>746</x:v>
      </x:c>
      <x:c r="D58" s="14">
        <x:v>48</x:v>
      </x:c>
      <x:c r="E58" s="14">
        <x:v>34</x:v>
      </x:c>
      <x:c r="F58" s="14">
        <x:v>16</x:v>
      </x:c>
      <x:c r="G58" s="22">
        <x:f>IF(C58=0,"n.a.",D58/C58)</x:f>
        <x:v>0.064343163538874</x:v>
      </x:c>
      <x:c r="H58">
        <x:v>218</x:v>
      </x:c>
      <x:c r="I58" s="65">
        <x:f>IF(H58=0,"n.a.",D58/H58)</x:f>
        <x:v>0.22018348623853212</x:v>
      </x:c>
      <x:c r="J58"/>
    </x:row>
    <x:row r="59" ht="30" customHeight="1">
      <x:c r="A59" s="24" t="n">
        <x:v>2025</x:v>
      </x:c>
      <x:c r="B59" s="67" t="inlineStr">
        <x:is>
          <x:t xml:space="preserve">SPD</x:t>
        </x:is>
      </x:c>
      <x:c r="C59" s="16">
        <x:v>411</x:v>
      </x:c>
      <x:c r="D59" s="16">
        <x:v>6</x:v>
      </x:c>
      <x:c r="E59" s="16">
        <x:v>2</x:v>
      </x:c>
      <x:c r="F59" s="16">
        <x:v>2</x:v>
      </x:c>
      <x:c r="G59" s="25">
        <x:f>IF(C59=0,"n.a.",D59/C59)</x:f>
        <x:v>0.014598540145985401</x:v>
      </x:c>
      <x:c r="H59">
        <x:v>98</x:v>
      </x:c>
      <x:c r="I59" s="65">
        <x:f>IF(H59=0,"n.a.",D59/H59)</x:f>
        <x:v>0.061224489795918366</x:v>
      </x:c>
      <x:c r="J59"/>
    </x:row>
    <x:row r="60" ht="30" customHeight="1">
      <x:c r="A60" s="21" t="n">
        <x:v>2025</x:v>
      </x:c>
      <x:c r="B60" s="66" t="inlineStr">
        <x:is>
          <x:t xml:space="preserve">BÜNDNIS 90/DIE GRÜNEN</x:t>
        </x:is>
      </x:c>
      <x:c r="C60" s="14">
        <x:v>358</x:v>
      </x:c>
      <x:c r="D60" s="14">
        <x:v>19</x:v>
      </x:c>
      <x:c r="E60" s="14">
        <x:v>13</x:v>
      </x:c>
      <x:c r="F60" s="14">
        <x:v>10</x:v>
      </x:c>
      <x:c r="G60" s="22">
        <x:f>IF(C60=0,"n.a.",D60/C60)</x:f>
        <x:v>0.05307262569832402</x:v>
      </x:c>
      <x:c r="H60">
        <x:v>79</x:v>
      </x:c>
      <x:c r="I60" s="65">
        <x:f>IF(H60=0,"n.a.",D60/H60)</x:f>
        <x:v>0.24050632911392406</x:v>
      </x:c>
      <x:c r="J60"/>
    </x:row>
    <x:row r="61" ht="34" customHeight="1">
      <x:c r="A61" s="24" t="n">
        <x:v>2025</x:v>
      </x:c>
      <x:c r="B61" s="67" t="inlineStr">
        <x:is>
          <x:t xml:space="preserve">FDP</x:t>
        </x:is>
      </x:c>
      <x:c r="C61" s="16">
        <x:v>3</x:v>
      </x:c>
      <x:c r="D61" s="16">
        <x:v>0</x:v>
      </x:c>
      <x:c r="E61" s="16">
        <x:v>0</x:v>
      </x:c>
      <x:c r="F61" s="16">
        <x:v>0</x:v>
      </x:c>
      <x:c r="G61" s="25" t="inlineStr">
        <x:is>
          <x:t xml:space="preserve">n.a.</x:t>
        </x:is>
      </x:c>
      <x:c r="H61">
        <x:v>3</x:v>
      </x:c>
      <x:c r="I61" s="65" t="str">
        <x:f>"n.a."</x:f>
        <x:v>n.a.</x:v>
      </x:c>
      <x:c r="J61"/>
    </x:row>
    <x:row r="62" ht="30" customHeight="1">
      <x:c r="A62" s="21" t="n">
        <x:v>2025</x:v>
      </x:c>
      <x:c r="B62" s="66" t="inlineStr">
        <x:is>
          <x:t xml:space="preserve">AfD</x:t>
        </x:is>
      </x:c>
      <x:c r="C62" s="14">
        <x:v>511</x:v>
      </x:c>
      <x:c r="D62" s="14">
        <x:v>30</x:v>
      </x:c>
      <x:c r="E62" s="14">
        <x:v>12</x:v>
      </x:c>
      <x:c r="F62" s="14">
        <x:v>8</x:v>
      </x:c>
      <x:c r="G62" s="22">
        <x:f>IF(C62=0,"n.a.",D62/C62)</x:f>
        <x:v>0.05870841487279843</x:v>
      </x:c>
      <x:c r="H62">
        <x:v>179</x:v>
      </x:c>
      <x:c r="I62" s="65">
        <x:f>IF(H62=0,"n.a.",D62/H62)</x:f>
        <x:v>0.16759776536312848</x:v>
      </x:c>
      <x:c r="J62"/>
    </x:row>
    <x:row r="63" ht="30" customHeight="1">
      <x:c r="A63" s="24" t="n">
        <x:v>2025</x:v>
      </x:c>
      <x:c r="B63" s="67" t="inlineStr">
        <x:is>
          <x:t xml:space="preserve">DIE LINKE</x:t>
        </x:is>
      </x:c>
      <x:c r="C63" s="16">
        <x:v>246</x:v>
      </x:c>
      <x:c r="D63" s="16">
        <x:v>4</x:v>
      </x:c>
      <x:c r="E63" s="16">
        <x:v>2</x:v>
      </x:c>
      <x:c r="F63" s="16">
        <x:v>2</x:v>
      </x:c>
      <x:c r="G63" s="25">
        <x:f>IF(C63=0,"n.a.",D63/C63)</x:f>
        <x:v>0.016260162601626018</x:v>
      </x:c>
      <x:c r="H63">
        <x:v>98</x:v>
      </x:c>
      <x:c r="I63" s="65">
        <x:f>IF(H63=0,"n.a.",D63/H63)</x:f>
        <x:v>0.04081632653061224</x:v>
      </x:c>
      <x:c r="J63"/>
    </x:row>
    <x:row r="64" ht="30" customHeight="1">
      <x:c r="A64" s="21" t="n">
        <x:v>2025</x:v>
      </x:c>
      <x:c r="B64" s="66" t="inlineStr">
        <x:is>
          <x:t xml:space="preserve">BSW</x:t>
        </x:is>
      </x:c>
      <x:c r="C64" s="14">
        <x:v>2</x:v>
      </x:c>
      <x:c r="D64" s="14">
        <x:v>0</x:v>
      </x:c>
      <x:c r="E64" s="14">
        <x:v>0</x:v>
      </x:c>
      <x:c r="F64" s="14">
        <x:v>0</x:v>
      </x:c>
      <x:c r="G64" s="22">
        <x:f>IF(C64=0,"n.a.",D64/C64)</x:f>
        <x:v>0.0</x:v>
      </x:c>
      <x:c r="H64">
        <x:v>2</x:v>
      </x:c>
      <x:c r="I64" s="65">
        <x:f>IF(H64=0,"n.a.",D64/H64)</x:f>
        <x:v>0.0</x:v>
      </x:c>
      <x:c r="J64"/>
    </x:row>
    <x:row r="65" ht="30" customHeight="1">
      <x:c r="A65" s="40" t="n">
        <x:v>2025</x:v>
      </x:c>
      <x:c r="B65" s="68" t="inlineStr">
        <x:is>
          <x:t xml:space="preserve">fraktionslos</x:t>
        </x:is>
      </x:c>
      <x:c r="C65" s="35">
        <x:v>2</x:v>
      </x:c>
      <x:c r="D65" s="35">
        <x:v>0</x:v>
      </x:c>
      <x:c r="E65" s="35">
        <x:v>0</x:v>
      </x:c>
      <x:c r="F65" s="35">
        <x:v>0</x:v>
      </x:c>
      <x:c r="G65" s="36">
        <x:f>IF(C65=0,"n.a.",D65/C65)</x:f>
        <x:v>0.0</x:v>
      </x:c>
      <x:c r="H65">
        <x:v>0</x:v>
      </x:c>
      <x:c r="I65" s="65" t="str">
        <x:f>IF(H65=0,"n.a.",D65/H65)</x:f>
        <x:v>n.a.</x:v>
      </x:c>
      <x:c r="J65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</x:row>
    <x:row r="68">
      <x:c r="A68"/>
      <x:c r="B68"/>
      <x:c r="C68"/>
      <x:c r="D68"/>
      <x:c r="E68"/>
      <x:c r="F68"/>
      <x:c r="G68"/>
      <x:c r="H68"/>
      <x:c r="I68"/>
      <x:c r="J68"/>
    </x:row>
    <x:row r="69" ht="30" customHeight="1">
      <x:c r="A69" s="19" t="str">
        <x:v>Konzentration im ersten Quartal</x:v>
      </x:c>
      <x:c r="B69" s="19"/>
      <x:c r="C69" s="19"/>
      <x:c r="D69" s="19"/>
      <x:c r="E69" s="19"/>
      <x:c r="F69" s="19"/>
      <x:c r="G69" s="19"/>
      <x:c r="H69" s="19"/>
      <x:c r="I69"/>
      <x:c r="J69"/>
    </x:row>
    <x:row r="70" ht="47" customHeight="1">
      <x:c r="A70" s="7" t="str">
        <x:v>Jahr</x:v>
      </x:c>
      <x:c r="B70" s="7" t="str">
        <x:v>G7 im Jahr</x:v>
      </x:c>
      <x:c r="C70" s="7" t="str">
        <x:v>G7 Jan.–März</x:v>
      </x:c>
      <x:c r="D70" s="7" t="str">
        <x:v>Anteil am G7-Jahr</x:v>
      </x:c>
      <x:c r="E70" s="7" t="str">
        <x:v>A&amp;E im Jahr</x:v>
      </x:c>
      <x:c r="F70" s="7" t="str">
        <x:v>A&amp;E Jan.–März</x:v>
      </x:c>
      <x:c r="G70" s="7" t="str">
        <x:v>Anteil am A&amp;E-Jahr</x:v>
      </x:c>
      <x:c r="H70"/>
      <x:c r="I70"/>
      <x:c r="J70"/>
    </x:row>
    <x:row r="71" ht="25" customHeight="1">
      <x:c r="A71" s="8" t="n">
        <x:v>2023</x:v>
      </x:c>
      <x:c r="B71" s="8">
        <x:v>15</x:v>
      </x:c>
      <x:c r="C71" s="8">
        <x:v>3</x:v>
      </x:c>
      <x:c r="D71" s="62">
        <x:f>IF(B71=0,"n.a.",C71/B71)</x:f>
        <x:v>0.2</x:v>
      </x:c>
      <x:c r="E71" s="8">
        <x:v>3417</x:v>
      </x:c>
      <x:c r="F71" s="8">
        <x:v>938</x:v>
      </x:c>
      <x:c r="G71" s="62">
        <x:f>IF(E71=0,"n.a.",F71/E71)</x:f>
        <x:v>0.27450980392156865</x:v>
      </x:c>
      <x:c r="H71"/>
      <x:c r="I71"/>
      <x:c r="J71"/>
    </x:row>
    <x:row r="72" ht="25" customHeight="1">
      <x:c r="A72" s="9" t="n">
        <x:v>2024</x:v>
      </x:c>
      <x:c r="B72" s="9">
        <x:v>348</x:v>
      </x:c>
      <x:c r="C72" s="9">
        <x:v>280</x:v>
      </x:c>
      <x:c r="D72" s="61">
        <x:f>IF(B72=0,"n.a.",C72/B72)</x:f>
        <x:v>0.8045977011494253</x:v>
      </x:c>
      <x:c r="E72" s="9">
        <x:v>4026</x:v>
      </x:c>
      <x:c r="F72" s="9">
        <x:v>2029</x:v>
      </x:c>
      <x:c r="G72" s="61">
        <x:f>IF(E72=0,"n.a.",F72/E72)</x:f>
        <x:v>0.5039741679085942</x:v>
      </x:c>
      <x:c r="H72"/>
      <x:c r="I72"/>
      <x:c r="J72"/>
    </x:row>
    <x:row r="73" ht="25" customHeight="1">
      <x:c r="A73" s="8" t="n">
        <x:v>2025</x:v>
      </x:c>
      <x:c r="B73" s="8">
        <x:v>107</x:v>
      </x:c>
      <x:c r="C73" s="8">
        <x:v>10</x:v>
      </x:c>
      <x:c r="D73" s="62">
        <x:f>IF(B73=0,"n.a.",C73/B73)</x:f>
        <x:v>0.09345794392523364</x:v>
      </x:c>
      <x:c r="E73" s="8">
        <x:v>2279</x:v>
      </x:c>
      <x:c r="F73" s="8">
        <x:v>122</x:v>
      </x:c>
      <x:c r="G73" s="62">
        <x:f>IF(E73=0,"n.a.",F73/E73)</x:f>
        <x:v>0.05353225098727512</x:v>
      </x:c>
      <x:c r="H73"/>
      <x:c r="I73"/>
      <x:c r="J73"/>
    </x:row>
    <x:row r="74">
      <x:c r="A74"/>
      <x:c r="B74"/>
      <x:c r="C74"/>
      <x:c r="D74"/>
      <x:c r="E74"/>
      <x:c r="F74"/>
      <x:c r="G74"/>
      <x:c r="H74"/>
      <x:c r="I74"/>
      <x:c r="J74"/>
    </x:row>
    <x:row r="75">
      <x:c r="A75"/>
      <x:c r="B75"/>
      <x:c r="C75"/>
      <x:c r="D75"/>
      <x:c r="E75"/>
      <x:c r="F75"/>
      <x:c r="G75"/>
      <x:c r="H75"/>
      <x:c r="I75"/>
      <x:c r="J75"/>
    </x:row>
    <x:row r="76" ht="30" customHeight="1">
      <x:c r="A76" s="19" t="str">
        <x:v>Agrardiesel am 20. März 2024</x:v>
      </x:c>
      <x:c r="B76" s="19"/>
      <x:c r="C76" s="19"/>
      <x:c r="D76" s="19"/>
      <x:c r="E76" s="19"/>
      <x:c r="F76" s="19"/>
      <x:c r="G76" s="19"/>
      <x:c r="H76" s="19"/>
      <x:c r="I76"/>
      <x:c r="J76"/>
    </x:row>
    <x:row r="77" ht="42" customHeight="1">
      <x:c r="A77" s="7" t="str">
        <x:v>Sitzungstag</x:v>
      </x:c>
      <x:c r="B77" s="7" t="str">
        <x:v>Agrardieselsätze am Tag</x:v>
      </x:c>
      <x:c r="C77" s="7" t="str">
        <x:v>Agrardieselsätze 2024</x:v>
      </x:c>
      <x:c r="D77" s="7" t="str">
        <x:v>Anteil am Jahreswert</x:v>
      </x:c>
      <x:c r="E77"/>
      <x:c r="F77"/>
      <x:c r="G77"/>
      <x:c r="H77"/>
      <x:c r="I77"/>
      <x:c r="J77"/>
    </x:row>
    <x:row r="78" ht="22" customHeight="1">
      <x:c r="A78" s="119" t="n">
        <x:v>45371</x:v>
      </x:c>
      <x:c r="B78" s="120" t="n">
        <x:v>101</x:v>
      </x:c>
      <x:c r="C78" s="120" t="n">
        <x:v>348</x:v>
      </x:c>
      <x:c r="D78" s="62">
        <x:f>B78/C78</x:f>
        <x:v>0.29022988505747127</x:v>
      </x:c>
      <x:c r="E78"/>
      <x:c r="F78"/>
      <x:c r="G78"/>
      <x:c r="H78"/>
      <x:c r="I78"/>
      <x:c r="J78"/>
    </x:row>
    <x:row r="79">
      <x:c r="A79"/>
      <x:c r="B79"/>
      <x:c r="C79"/>
      <x:c r="D79"/>
      <x:c r="E79"/>
      <x:c r="F79"/>
      <x:c r="G79"/>
      <x:c r="H79"/>
      <x:c r="I79"/>
      <x:c r="J79"/>
    </x:row>
    <x:row r="80" ht="40" customHeight="1">
      <x:c r="A80"/>
      <x:c r="B80"/>
      <x:c r="C80"/>
      <x:c r="D80"/>
      <x:c r="E80"/>
      <x:c r="F80"/>
      <x:c r="G80"/>
      <x:c r="H80"/>
      <x:c r="I80"/>
      <x:c r="J80"/>
    </x:row>
    <x:row r="81">
      <x:c r="A81"/>
      <x:c r="B81"/>
      <x:c r="C81"/>
      <x:c r="D81"/>
      <x:c r="E81"/>
      <x:c r="F81"/>
      <x:c r="G81"/>
      <x:c r="H81"/>
      <x:c r="I81"/>
      <x:c r="J81"/>
    </x:row>
    <x:row r="82" ht="47" customHeight="1">
      <x:c r="A82"/>
      <x:c r="B82"/>
      <x:c r="C82"/>
      <x:c r="D82"/>
      <x:c r="E82"/>
      <x:c r="F82"/>
      <x:c r="G82"/>
      <x:c r="H82"/>
      <x:c r="I82"/>
      <x:c r="J82"/>
    </x:row>
    <x:row r="83" ht="40" customHeight="1">
      <x:c r="A83"/>
      <x:c r="B83"/>
      <x:c r="C83"/>
      <x:c r="D83"/>
      <x:c r="E83"/>
      <x:c r="F83"/>
      <x:c r="G83"/>
      <x:c r="H83"/>
      <x:c r="I83"/>
      <x:c r="J83"/>
    </x:row>
    <x:row r="84" ht="40" customHeight="1">
      <x:c r="A84"/>
      <x:c r="B84"/>
      <x:c r="C84"/>
      <x:c r="D84"/>
      <x:c r="E84"/>
      <x:c r="F84"/>
      <x:c r="G84"/>
      <x:c r="H84"/>
      <x:c r="I84"/>
      <x:c r="J84"/>
    </x:row>
    <x:row r="85" ht="40" customHeight="1">
      <x:c r="A85"/>
      <x:c r="B85"/>
      <x:c r="C85"/>
      <x:c r="D85"/>
      <x:c r="E85"/>
      <x:c r="F85"/>
      <x:c r="G85"/>
      <x:c r="H85"/>
      <x:c r="I85"/>
      <x:c r="J85"/>
    </x:row>
    <x:row r="86">
      <x:c r="A86"/>
      <x:c r="B86"/>
      <x:c r="C86"/>
      <x:c r="D86"/>
      <x:c r="E86"/>
      <x:c r="F86"/>
      <x:c r="G86"/>
      <x:c r="H86"/>
      <x:c r="I86"/>
      <x:c r="J86"/>
    </x:row>
    <x:row r="87">
      <x:c r="A87"/>
      <x:c r="B87"/>
      <x:c r="C87"/>
      <x:c r="D87"/>
      <x:c r="E87"/>
      <x:c r="F87"/>
      <x:c r="G87"/>
      <x:c r="H87"/>
      <x:c r="I87"/>
      <x:c r="J87"/>
    </x:row>
    <x:row r="88">
      <x:c r="A88"/>
      <x:c r="B88"/>
      <x:c r="C88"/>
      <x:c r="D88"/>
      <x:c r="E88"/>
      <x:c r="F88"/>
      <x:c r="G88"/>
      <x:c r="H88"/>
      <x:c r="I88"/>
      <x:c r="J88"/>
    </x:row>
    <x:row r="89">
      <x:c r="A89"/>
      <x:c r="B89"/>
      <x:c r="C89"/>
      <x:c r="D89"/>
      <x:c r="E89"/>
      <x:c r="F89"/>
      <x:c r="G89"/>
      <x:c r="H89"/>
      <x:c r="I89"/>
      <x:c r="J89"/>
    </x:row>
    <x:row r="90">
      <x:c r="A90"/>
      <x:c r="B90"/>
      <x:c r="C90"/>
      <x:c r="D90"/>
      <x:c r="E90"/>
      <x:c r="F90"/>
      <x:c r="G90"/>
      <x:c r="H90"/>
      <x:c r="I90"/>
      <x:c r="J90"/>
    </x:row>
  </x:sheetData>
  <x:mergeCells>
    <x:mergeCell ref="A69:H69"/>
    <x:mergeCell ref="A76:H76"/>
    <x:mergeCell ref="A80:I80"/>
    <x:mergeCell ref="A87:I88"/>
    <x:mergeCell ref="A90:I90"/>
  </x:mergeCells>
  <x:pageMargins left="0.7" right="0.7" top="0.75" bottom="0.75" header="0.3" footer="0.3"/>
  <x:tableParts count="2">
    <x:tablePart r:id="R71db5101aeb24254"/>
    <x:tablePart r:id="R8ed566ab4ecc4c5e"/>
  </x:tableParts>
</x:worksheet>
</file>

<file path=xl/worksheets/sheet8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49" hidden="0" customWidth="1"/>
    <x:col min="2" max="2" width="26" hidden="0" customWidth="1"/>
    <x:col min="3" max="3" width="26" hidden="0" customWidth="1"/>
    <x:col min="4" max="4" width="16.670000076293945" hidden="0" customWidth="1"/>
    <x:col min="5" max="5" width="16.110000610351562" hidden="0" customWidth="1"/>
    <x:col min="6" max="6" width="16.110000610351562" hidden="0" customWidth="1"/>
    <x:col min="7" max="7" width="16.670000076293945" hidden="0" customWidth="1"/>
    <x:col min="8" max="8" width="16.110000610351562" hidden="0" customWidth="1"/>
    <x:col min="9" max="9" width="17.219999313354492" hidden="0" customWidth="1"/>
    <x:col min="10" max="10" width="16.670000076293945" hidden="0" customWidth="1"/>
    <x:col min="11" max="11" width="17.219999313354492" hidden="0" customWidth="1"/>
  </x:cols>
  <x:sheetData>
    <x:row r="1" ht="10" customHeight="1">
      <x:c r="A1"/>
      <x:c r="B1"/>
      <x:c r="C1"/>
      <x:c r="D1"/>
      <x:c r="E1"/>
      <x:c r="F1"/>
      <x:c r="G1"/>
      <x:c r="H1"/>
      <x:c r="I1"/>
      <x:c r="J1"/>
      <x:c r="K1"/>
    </x:row>
    <x:row r="2" ht="30" customHeight="1">
      <x:c r="A2" s="19" t="str">
        <x:v>Wortwahl und Beispiel zur thematischen Untererfassung</x:v>
      </x:c>
      <x:c r="B2" s="19"/>
      <x:c r="C2" s="19"/>
      <x:c r="D2"/>
      <x:c r="E2"/>
      <x:c r="F2"/>
      <x:c r="G2"/>
      <x:c r="H2"/>
      <x:c r="I2"/>
      <x:c r="J2"/>
      <x:c r="K2"/>
    </x:row>
    <x:row r="3" ht="22" customHeight="1">
      <x:c r="A3"/>
      <x:c r="B3"/>
      <x:c r="C3"/>
      <x:c r="D3"/>
      <x:c r="E3"/>
      <x:c r="F3"/>
      <x:c r="G3"/>
      <x:c r="H3"/>
      <x:c r="I3"/>
      <x:c r="J3"/>
      <x:c r="K3"/>
    </x:row>
    <x:row r="4" ht="22" customHeight="1">
      <x:c r="A4" s="63" t="str">
        <x:v>Tabelle A9: jede Bezeichnung wird je Satz höchstens einmal gezählt. Beide Bezeichnungen können im selben Satz auftreten.</x:v>
      </x:c>
      <x:c r="B4" s="63"/>
      <x:c r="C4" s="63"/>
      <x:c r="D4"/>
      <x:c r="E4"/>
      <x:c r="F4"/>
      <x:c r="G4"/>
      <x:c r="H4"/>
      <x:c r="I4"/>
      <x:c r="J4"/>
      <x:c r="K4"/>
    </x:row>
    <x:row r="5" ht="22" customHeight="1">
      <x:c r="A5" s="63"/>
      <x:c r="B5" s="63"/>
      <x:c r="C5" s="63"/>
      <x:c r="D5"/>
      <x:c r="E5"/>
      <x:c r="F5"/>
      <x:c r="G5"/>
      <x:c r="H5"/>
      <x:c r="I5"/>
      <x:c r="J5"/>
      <x:c r="K5"/>
    </x:row>
    <x:row r="6" ht="22" customHeight="1">
      <x:c r="A6"/>
      <x:c r="B6"/>
      <x:c r="C6"/>
      <x:c r="D6"/>
      <x:c r="E6"/>
      <x:c r="F6"/>
      <x:c r="G6"/>
      <x:c r="H6"/>
      <x:c r="I6"/>
      <x:c r="J6"/>
      <x:c r="K6"/>
    </x:row>
    <x:row r="7" ht="22" customHeight="1">
      <x:c r="A7"/>
      <x:c r="B7"/>
      <x:c r="C7"/>
      <x:c r="D7"/>
      <x:c r="E7"/>
      <x:c r="F7"/>
      <x:c r="G7"/>
      <x:c r="H7"/>
      <x:c r="I7"/>
      <x:c r="J7"/>
      <x:c r="K7"/>
    </x:row>
    <x:row r="8" ht="47" customHeight="1">
      <x:c r="A8" s="7" t="str">
        <x:v>Fraktion / Gesamt</x:v>
      </x:c>
      <x:c r="B8" s="7" t="str">
        <x:v>Pestizid</x:v>
      </x:c>
      <x:c r="C8" s="7" t="str">
        <x:v>Pflanzenschutzmittel</x:v>
      </x:c>
      <x:c r="D8"/>
      <x:c r="E8"/>
      <x:c r="F8"/>
      <x:c r="G8"/>
      <x:c r="H8"/>
      <x:c r="I8"/>
      <x:c r="J8"/>
      <x:c r="K8"/>
    </x:row>
    <x:row r="9" ht="25" customHeight="1">
      <x:c r="A9" s="8" t="str">
        <x:v>CDU/CSU</x:v>
      </x:c>
      <x:c r="B9" s="8">
        <x:v>24</x:v>
      </x:c>
      <x:c r="C9" s="8">
        <x:v>169</x:v>
      </x:c>
      <x:c r="D9"/>
      <x:c r="E9"/>
      <x:c r="F9"/>
      <x:c r="G9"/>
      <x:c r="H9"/>
      <x:c r="I9"/>
      <x:c r="J9"/>
      <x:c r="K9"/>
    </x:row>
    <x:row r="10" ht="25" customHeight="1">
      <x:c r="A10" s="9" t="str">
        <x:v>SPD</x:v>
      </x:c>
      <x:c r="B10" s="9">
        <x:v>44</x:v>
      </x:c>
      <x:c r="C10" s="9">
        <x:v>127</x:v>
      </x:c>
      <x:c r="D10"/>
      <x:c r="E10"/>
      <x:c r="F10"/>
      <x:c r="G10"/>
      <x:c r="H10"/>
      <x:c r="I10"/>
      <x:c r="J10"/>
      <x:c r="K10"/>
    </x:row>
    <x:row r="11" ht="25" customHeight="1">
      <x:c r="A11" s="8" t="str">
        <x:v>Grüne</x:v>
      </x:c>
      <x:c r="B11" s="8">
        <x:v>134</x:v>
      </x:c>
      <x:c r="C11" s="8">
        <x:v>13</x:v>
      </x:c>
      <x:c r="D11"/>
      <x:c r="E11"/>
      <x:c r="F11"/>
      <x:c r="G11"/>
      <x:c r="H11"/>
      <x:c r="I11"/>
      <x:c r="J11"/>
      <x:c r="K11"/>
    </x:row>
    <x:row r="12" ht="25" customHeight="1">
      <x:c r="A12" s="9" t="str">
        <x:v>AfD</x:v>
      </x:c>
      <x:c r="B12" s="9">
        <x:v>26</x:v>
      </x:c>
      <x:c r="C12" s="9">
        <x:v>46</x:v>
      </x:c>
      <x:c r="D12"/>
      <x:c r="E12"/>
      <x:c r="F12"/>
      <x:c r="G12"/>
      <x:c r="H12"/>
      <x:c r="I12"/>
      <x:c r="J12"/>
      <x:c r="K12"/>
    </x:row>
    <x:row r="13" ht="25" customHeight="1">
      <x:c r="A13" s="8" t="str">
        <x:v>FDP</x:v>
      </x:c>
      <x:c r="B13" s="8">
        <x:v>7</x:v>
      </x:c>
      <x:c r="C13" s="8">
        <x:v>79</x:v>
      </x:c>
      <x:c r="D13"/>
      <x:c r="E13"/>
      <x:c r="F13"/>
      <x:c r="G13"/>
      <x:c r="H13"/>
      <x:c r="I13"/>
      <x:c r="J13"/>
      <x:c r="K13"/>
    </x:row>
    <x:row r="14" ht="25" customHeight="1">
      <x:c r="A14" s="9" t="str">
        <x:v>Die Linke</x:v>
      </x:c>
      <x:c r="B14" s="9">
        <x:v>37</x:v>
      </x:c>
      <x:c r="C14" s="9">
        <x:v>29</x:v>
      </x:c>
      <x:c r="D14"/>
      <x:c r="E14"/>
      <x:c r="F14"/>
      <x:c r="G14"/>
      <x:c r="H14"/>
      <x:c r="I14"/>
      <x:c r="J14"/>
      <x:c r="K14"/>
    </x:row>
    <x:row r="15" ht="25" customHeight="1">
      <x:c r="A15" s="8" t="str">
        <x:v>Gesamt</x:v>
      </x:c>
      <x:c r="B15" s="8">
        <x:v>274</x:v>
      </x:c>
      <x:c r="C15" s="8">
        <x:v>467</x:v>
      </x:c>
      <x:c r="D15"/>
      <x:c r="E15"/>
      <x:c r="F15"/>
      <x:c r="G15"/>
      <x:c r="H15"/>
      <x:c r="I15"/>
      <x:c r="J15"/>
      <x:c r="K15"/>
    </x:row>
    <x:row r="16" ht="24" customHeight="1">
      <x:c r="A16"/>
      <x:c r="B16"/>
      <x:c r="C16"/>
      <x:c r="D16"/>
      <x:c r="E16"/>
      <x:c r="F16"/>
      <x:c r="G16"/>
      <x:c r="H16"/>
      <x:c r="I16"/>
      <x:c r="J16"/>
      <x:c r="K16"/>
    </x:row>
    <x:row r="17" ht="24" customHeight="1">
      <x:c r="A17" s="63" t="str">
        <x:v>Gesamt umfasst alle 25.247 A&amp;E-Sätze, einschließlich BSW und fraktionsloser Beiträge. Die sechs Fraktionen ergeben deshalb nicht zwingend die Gesamtzeile.</x:v>
      </x:c>
      <x:c r="B17" s="63"/>
      <x:c r="C17" s="63"/>
      <x:c r="D17"/>
      <x:c r="E17"/>
      <x:c r="F17"/>
      <x:c r="G17"/>
      <x:c r="H17"/>
      <x:c r="I17"/>
      <x:c r="J17"/>
      <x:c r="K17"/>
    </x:row>
    <x:row r="18" ht="24" customHeight="1">
      <x:c r="A18" s="63"/>
      <x:c r="B18" s="63"/>
      <x:c r="C18" s="63"/>
      <x:c r="D18"/>
      <x:c r="E18"/>
      <x:c r="F18"/>
      <x:c r="G18"/>
      <x:c r="H18"/>
      <x:c r="I18"/>
      <x:c r="J18"/>
      <x:c r="K18"/>
    </x:row>
    <x:row r="19" ht="22" customHeight="1">
      <x:c r="A19"/>
      <x:c r="B19"/>
      <x:c r="C19"/>
      <x:c r="D19"/>
      <x:c r="E19"/>
      <x:c r="F19"/>
      <x:c r="G19"/>
      <x:c r="H19"/>
      <x:c r="I19"/>
      <x:c r="J19"/>
      <x:c r="K19"/>
    </x:row>
    <x:row r="20" ht="30" customHeight="1">
      <x:c r="A20" s="19" t="str">
        <x:v>Fleischwirtschaft: kompakter Nachweis für Abschnitt 5.4</x:v>
      </x:c>
      <x:c r="B20" s="19"/>
      <x:c r="C20" s="19"/>
      <x:c r="D20"/>
      <x:c r="E20"/>
      <x:c r="F20"/>
      <x:c r="G20"/>
      <x:c r="H20"/>
      <x:c r="I20"/>
      <x:c r="J20"/>
      <x:c r="K20"/>
    </x:row>
    <x:row r="21" ht="47" customHeight="1">
      <x:c r="A21" s="7" t="str">
        <x:v>Textauswahl (gesamter Zeitraum)</x:v>
      </x:c>
      <x:c r="B21" s="7" t="str">
        <x:v>A&amp;E-Sätze</x:v>
      </x:c>
      <x:c r="C21" s="7" t="str">
        <x:v>Ohne Themenzuordnung</x:v>
      </x:c>
      <x:c r="D21"/>
      <x:c r="E21"/>
      <x:c r="F21"/>
      <x:c r="G21"/>
      <x:c r="H21"/>
      <x:c r="I21"/>
      <x:c r="J21"/>
      <x:c r="K21"/>
    </x:row>
    <x:row r="22" ht="25" customHeight="1">
      <x:c r="A22" s="9" t="str">
        <x:v>Fleischindustrie / Fleischwirtschaft</x:v>
      </x:c>
      <x:c r="B22" s="9">
        <x:v>323</x:v>
      </x:c>
      <x:c r="C22" s="9">
        <x:v>285</x:v>
      </x:c>
      <x:c r="D22"/>
      <x:c r="E22"/>
      <x:c r="F22"/>
      <x:c r="G22"/>
      <x:c r="H22"/>
      <x:c r="I22"/>
      <x:c r="J22"/>
      <x:c r="K22"/>
    </x:row>
    <x:row r="23" ht="26" customHeight="1">
      <x:c r="A23"/>
      <x:c r="B23"/>
      <x:c r="C23"/>
      <x:c r="D23"/>
      <x:c r="E23"/>
      <x:c r="F23"/>
      <x:c r="G23"/>
      <x:c r="H23"/>
      <x:c r="I23"/>
      <x:c r="J23"/>
      <x:c r="K23"/>
    </x:row>
    <x:row r="24" ht="42" customHeight="1">
      <x:c r="A24" s="63" t="str">
        <x:v>Suchregel im Regelindex C16. Das folgende Beispiel stammt aus 2020 und hat in allen drei Themenbereichen den Wert 0.</x:v>
      </x:c>
      <x:c r="B24" s="63"/>
      <x:c r="C24" s="63"/>
      <x:c r="D24"/>
      <x:c r="E24"/>
      <x:c r="F24"/>
      <x:c r="G24"/>
      <x:c r="H24"/>
      <x:c r="I24"/>
      <x:c r="J24"/>
      <x:c r="K24"/>
    </x:row>
    <x:row r="25" ht="47" customHeight="1">
      <x:c r="A25" s="7" t="str">
        <x:v>Satzkennung</x:v>
      </x:c>
      <x:c r="B25" s="7" t="str">
        <x:v>Datum</x:v>
      </x:c>
      <x:c r="C25" s="7" t="str">
        <x:v>Beitragskennung</x:v>
      </x:c>
      <x:c r="D25"/>
      <x:c r="E25"/>
      <x:c r="F25"/>
      <x:c r="G25"/>
      <x:c r="H25"/>
      <x:c r="I25"/>
      <x:c r="J25"/>
      <x:c r="K25"/>
    </x:row>
    <x:row r="26" ht="25" customHeight="1">
      <x:c r="A26" s="9" t="inlineStr">
        <x:is>
          <x:t xml:space="preserve">ID1915900600:3</x:t>
        </x:is>
      </x:c>
      <x:c r="B26" s="9" t="inlineStr">
        <x:is>
          <x:t xml:space="preserve">2020-05-13</x:t>
        </x:is>
      </x:c>
      <x:c r="C26" s="9" t="inlineStr">
        <x:is>
          <x:t xml:space="preserve">ID1915900600</x:t>
        </x:is>
      </x:c>
      <x:c r="D26"/>
      <x:c r="E26"/>
      <x:c r="F26"/>
      <x:c r="G26"/>
      <x:c r="H26"/>
      <x:c r="I26"/>
      <x:c r="J26"/>
      <x:c r="K26"/>
    </x:row>
    <x:row r="27" ht="26" customHeight="1">
      <x:c r="A27"/>
      <x:c r="B27"/>
      <x:c r="C27"/>
      <x:c r="D27"/>
      <x:c r="E27"/>
      <x:c r="F27"/>
      <x:c r="G27"/>
      <x:c r="H27"/>
      <x:c r="I27"/>
      <x:c r="J27"/>
      <x:c r="K27"/>
    </x:row>
    <x:row r="28" ht="30" customHeight="1">
      <x:c r="A28" s="63" t="inlineStr">
        <x:is>
          <x:t xml:space="preserve">Sehr geehrte Frau Bundeskanzlerin, sowohl die als Saisonarbeitskräfte in der Landwirtschaft als auch die als Werksarbeiter in der Fleischindustrie Beschäftigten arbeiten seit Jahren unter unzumutbaren Zuständen.</x:t>
        </x:is>
      </x:c>
      <x:c r="B28" s="63"/>
      <x:c r="C28" s="63"/>
      <x:c r="D28"/>
      <x:c r="E28"/>
      <x:c r="F28"/>
      <x:c r="G28"/>
      <x:c r="H28"/>
      <x:c r="I28"/>
      <x:c r="J28"/>
      <x:c r="K28"/>
    </x:row>
    <x:row r="29" ht="30" customHeight="1">
      <x:c r="A29" s="63"/>
      <x:c r="B29" s="63"/>
      <x:c r="C29" s="63"/>
      <x:c r="D29"/>
      <x:c r="E29"/>
      <x:c r="F29"/>
      <x:c r="G29"/>
      <x:c r="H29"/>
      <x:c r="I29"/>
      <x:c r="J29"/>
      <x:c r="K29"/>
    </x:row>
    <x:row r="30" ht="30" customHeight="1">
      <x:c r="A30" s="63"/>
      <x:c r="B30" s="63"/>
      <x:c r="C30" s="63"/>
      <x:c r="D30"/>
      <x:c r="E30"/>
      <x:c r="F30"/>
      <x:c r="G30"/>
      <x:c r="H30"/>
      <x:c r="I30"/>
      <x:c r="J30"/>
      <x:c r="K30"/>
    </x:row>
    <x:row r="31" ht="26" customHeight="1">
      <x:c r="A31"/>
      <x:c r="B31"/>
      <x:c r="C31"/>
      <x:c r="D31"/>
      <x:c r="E31"/>
      <x:c r="F31"/>
      <x:c r="G31"/>
      <x:c r="H31"/>
      <x:c r="I31"/>
      <x:c r="J31"/>
      <x:c r="K31"/>
    </x:row>
    <x:row r="32" ht="26" customHeight="1">
      <x:c r="A32"/>
      <x:c r="B32"/>
      <x:c r="C32"/>
      <x:c r="D32"/>
      <x:c r="E32"/>
      <x:c r="F32"/>
      <x:c r="G32"/>
      <x:c r="H32"/>
      <x:c r="I32"/>
      <x:c r="J32"/>
      <x:c r="K32"/>
    </x:row>
    <x:row r="33" ht="26" customHeight="1">
      <x:c r="A33"/>
      <x:c r="B33"/>
      <x:c r="C33"/>
      <x:c r="D33"/>
      <x:c r="E33"/>
      <x:c r="F33"/>
      <x:c r="G33"/>
      <x:c r="H33"/>
      <x:c r="I33"/>
      <x:c r="J33"/>
      <x:c r="K33"/>
    </x:row>
    <x:row r="34" ht="26" customHeight="1">
      <x:c r="A34"/>
      <x:c r="B34"/>
      <x:c r="C34"/>
      <x:c r="D34"/>
      <x:c r="E34"/>
      <x:c r="F34"/>
      <x:c r="G34"/>
      <x:c r="H34"/>
      <x:c r="I34"/>
      <x:c r="J34"/>
      <x:c r="K34"/>
    </x:row>
    <x:row r="35" ht="26" customHeight="1">
      <x:c r="A35"/>
      <x:c r="B35"/>
      <x:c r="C35"/>
      <x:c r="D35"/>
      <x:c r="E35"/>
      <x:c r="F35"/>
      <x:c r="G35"/>
      <x:c r="H35"/>
      <x:c r="I35"/>
      <x:c r="J35"/>
      <x:c r="K35"/>
    </x:row>
    <x:row r="36" ht="26" customHeight="1">
      <x:c r="A36"/>
      <x:c r="B36"/>
      <x:c r="C36"/>
      <x:c r="D36"/>
      <x:c r="E36"/>
      <x:c r="F36"/>
      <x:c r="G36"/>
      <x:c r="H36"/>
      <x:c r="I36"/>
      <x:c r="J36"/>
      <x:c r="K36"/>
    </x:row>
    <x:row r="37" ht="26" customHeight="1">
      <x:c r="A37"/>
      <x:c r="B37"/>
      <x:c r="C37"/>
      <x:c r="D37"/>
      <x:c r="E37"/>
      <x:c r="F37"/>
      <x:c r="G37"/>
      <x:c r="H37"/>
      <x:c r="I37"/>
      <x:c r="J37"/>
      <x:c r="K37"/>
    </x:row>
    <x:row r="38" ht="26" customHeight="1">
      <x:c r="A38"/>
      <x:c r="B38"/>
      <x:c r="C38"/>
      <x:c r="D38"/>
      <x:c r="E38"/>
      <x:c r="F38"/>
      <x:c r="G38"/>
      <x:c r="H38"/>
      <x:c r="I38"/>
      <x:c r="J38"/>
      <x:c r="K38"/>
    </x:row>
    <x:row r="39" ht="26" customHeight="1">
      <x:c r="A39"/>
      <x:c r="B39"/>
      <x:c r="C39"/>
      <x:c r="D39"/>
      <x:c r="E39"/>
      <x:c r="F39"/>
      <x:c r="G39"/>
      <x:c r="H39"/>
      <x:c r="I39"/>
      <x:c r="J39"/>
      <x:c r="K39"/>
    </x:row>
    <x:row r="40" ht="26" customHeight="1">
      <x:c r="A40"/>
      <x:c r="B40"/>
      <x:c r="C40"/>
      <x:c r="D40"/>
      <x:c r="E40"/>
      <x:c r="F40"/>
      <x:c r="G40"/>
      <x:c r="H40"/>
      <x:c r="I40"/>
      <x:c r="J40"/>
      <x:c r="K40"/>
    </x:row>
    <x:row r="41" ht="26" customHeight="1">
      <x:c r="A41"/>
      <x:c r="B41"/>
      <x:c r="C41"/>
      <x:c r="D41"/>
      <x:c r="E41"/>
      <x:c r="F41"/>
      <x:c r="G41"/>
      <x:c r="H41"/>
      <x:c r="I41"/>
      <x:c r="J41"/>
      <x:c r="K41"/>
    </x:row>
    <x:row r="42" ht="26" customHeight="1">
      <x:c r="A42"/>
      <x:c r="B42"/>
      <x:c r="C42"/>
      <x:c r="D42"/>
      <x:c r="E42"/>
      <x:c r="F42"/>
      <x:c r="G42"/>
      <x:c r="H42"/>
      <x:c r="I42"/>
      <x:c r="J42"/>
      <x:c r="K42"/>
    </x:row>
    <x:row r="43" ht="26" customHeight="1">
      <x:c r="A43"/>
      <x:c r="B43"/>
      <x:c r="C43"/>
      <x:c r="D43"/>
      <x:c r="E43"/>
      <x:c r="F43"/>
      <x:c r="G43"/>
      <x:c r="H43"/>
      <x:c r="I43"/>
      <x:c r="J43"/>
      <x:c r="K43"/>
    </x:row>
    <x:row r="44" ht="26" customHeight="1">
      <x:c r="A44"/>
      <x:c r="B44"/>
      <x:c r="C44"/>
      <x:c r="D44"/>
      <x:c r="E44"/>
      <x:c r="F44"/>
      <x:c r="G44"/>
      <x:c r="H44"/>
      <x:c r="I44"/>
      <x:c r="J44"/>
      <x:c r="K44"/>
    </x:row>
    <x:row r="45" ht="26" customHeight="1">
      <x:c r="A45"/>
      <x:c r="B45"/>
      <x:c r="C45"/>
      <x:c r="D45"/>
      <x:c r="E45"/>
      <x:c r="F45"/>
      <x:c r="G45"/>
      <x:c r="H45"/>
      <x:c r="I45"/>
      <x:c r="J45"/>
      <x:c r="K45"/>
    </x:row>
    <x:row r="46" ht="26" customHeight="1">
      <x:c r="A46"/>
      <x:c r="B46"/>
      <x:c r="C46"/>
      <x:c r="D46"/>
      <x:c r="E46"/>
      <x:c r="F46"/>
      <x:c r="G46"/>
      <x:c r="H46"/>
      <x:c r="I46"/>
      <x:c r="J46"/>
      <x:c r="K46"/>
    </x:row>
    <x:row r="47" ht="26" customHeight="1">
      <x:c r="A47"/>
      <x:c r="B47"/>
      <x:c r="C47"/>
      <x:c r="D47"/>
      <x:c r="E47"/>
      <x:c r="F47"/>
      <x:c r="G47"/>
      <x:c r="H47"/>
      <x:c r="I47"/>
      <x:c r="J47"/>
      <x:c r="K47"/>
    </x:row>
    <x:row r="48" ht="26" customHeight="1">
      <x:c r="A48"/>
      <x:c r="B48"/>
      <x:c r="C48"/>
      <x:c r="D48"/>
      <x:c r="E48"/>
      <x:c r="F48"/>
      <x:c r="G48"/>
      <x:c r="H48"/>
      <x:c r="I48"/>
      <x:c r="J48"/>
      <x:c r="K48"/>
    </x:row>
    <x:row r="49" ht="26" customHeight="1">
      <x:c r="A49"/>
      <x:c r="B49"/>
      <x:c r="C49"/>
      <x:c r="D49"/>
      <x:c r="E49"/>
      <x:c r="F49"/>
      <x:c r="G49"/>
      <x:c r="H49"/>
      <x:c r="I49"/>
      <x:c r="J49"/>
      <x:c r="K49"/>
    </x:row>
    <x:row r="50" ht="26" customHeight="1">
      <x:c r="A50"/>
      <x:c r="B50"/>
      <x:c r="C50"/>
      <x:c r="D50"/>
      <x:c r="E50"/>
      <x:c r="F50"/>
      <x:c r="G50"/>
      <x:c r="H50"/>
      <x:c r="I50"/>
      <x:c r="J50"/>
      <x:c r="K50"/>
    </x:row>
    <x:row r="51" ht="26" customHeight="1">
      <x:c r="A51"/>
      <x:c r="B51"/>
      <x:c r="C51"/>
      <x:c r="D51"/>
      <x:c r="E51"/>
      <x:c r="F51"/>
      <x:c r="G51"/>
      <x:c r="H51"/>
      <x:c r="I51"/>
      <x:c r="J51"/>
      <x:c r="K51"/>
    </x:row>
    <x:row r="52" ht="26" customHeight="1">
      <x:c r="A52"/>
      <x:c r="B52"/>
      <x:c r="C52"/>
      <x:c r="D52"/>
      <x:c r="E52"/>
      <x:c r="F52"/>
      <x:c r="G52"/>
      <x:c r="H52"/>
      <x:c r="I52"/>
      <x:c r="J52"/>
      <x:c r="K52"/>
    </x:row>
    <x:row r="53" ht="26" customHeight="1">
      <x:c r="A53"/>
      <x:c r="B53"/>
      <x:c r="C53"/>
      <x:c r="D53"/>
      <x:c r="E53"/>
      <x:c r="F53"/>
      <x:c r="G53"/>
      <x:c r="H53"/>
      <x:c r="I53"/>
      <x:c r="J53"/>
      <x:c r="K53"/>
    </x:row>
    <x:row r="54" ht="26" customHeight="1">
      <x:c r="A54"/>
      <x:c r="B54"/>
      <x:c r="C54"/>
      <x:c r="D54"/>
      <x:c r="E54"/>
      <x:c r="F54"/>
      <x:c r="G54"/>
      <x:c r="H54"/>
      <x:c r="I54"/>
      <x:c r="J54"/>
      <x:c r="K54"/>
    </x:row>
    <x:row r="55" ht="26" customHeight="1">
      <x:c r="A55"/>
      <x:c r="B55"/>
      <x:c r="C55"/>
      <x:c r="D55"/>
      <x:c r="E55"/>
      <x:c r="F55"/>
      <x:c r="G55"/>
      <x:c r="H55"/>
      <x:c r="I55"/>
      <x:c r="J55"/>
      <x:c r="K55"/>
    </x:row>
    <x:row r="56" ht="26" customHeight="1">
      <x:c r="A56"/>
      <x:c r="B56"/>
      <x:c r="C56"/>
      <x:c r="D56"/>
      <x:c r="E56"/>
      <x:c r="F56"/>
      <x:c r="G56"/>
      <x:c r="H56"/>
      <x:c r="I56"/>
      <x:c r="J56"/>
      <x:c r="K56"/>
    </x:row>
    <x:row r="57" ht="26" customHeight="1">
      <x:c r="A57"/>
      <x:c r="B57"/>
      <x:c r="C57"/>
      <x:c r="D57"/>
      <x:c r="E57"/>
      <x:c r="F57"/>
      <x:c r="G57"/>
      <x:c r="H57"/>
      <x:c r="I57"/>
      <x:c r="J57"/>
      <x:c r="K57"/>
    </x:row>
    <x:row r="58" ht="26" customHeight="1">
      <x:c r="A58"/>
      <x:c r="B58"/>
      <x:c r="C58"/>
      <x:c r="D58"/>
      <x:c r="E58"/>
      <x:c r="F58"/>
      <x:c r="G58"/>
      <x:c r="H58"/>
      <x:c r="I58"/>
      <x:c r="J58"/>
      <x:c r="K58"/>
    </x:row>
    <x:row r="59" ht="26" customHeight="1">
      <x:c r="A59"/>
      <x:c r="B59"/>
      <x:c r="C59"/>
      <x:c r="D59"/>
      <x:c r="E59"/>
      <x:c r="F59"/>
      <x:c r="G59"/>
      <x:c r="H59"/>
      <x:c r="I59"/>
      <x:c r="J59"/>
      <x:c r="K59"/>
    </x:row>
    <x:row r="60" ht="26" customHeight="1">
      <x:c r="A60"/>
      <x:c r="B60"/>
      <x:c r="C60"/>
      <x:c r="D60"/>
      <x:c r="E60"/>
      <x:c r="F60"/>
      <x:c r="G60"/>
      <x:c r="H60"/>
      <x:c r="I60"/>
      <x:c r="J60"/>
      <x:c r="K60"/>
    </x:row>
    <x:row r="61" ht="26" customHeight="1">
      <x:c r="A61"/>
      <x:c r="B61"/>
      <x:c r="C61"/>
      <x:c r="D61"/>
      <x:c r="E61"/>
      <x:c r="F61"/>
      <x:c r="G61"/>
      <x:c r="H61"/>
      <x:c r="I61"/>
      <x:c r="J61"/>
      <x:c r="K61"/>
    </x:row>
    <x:row r="62" ht="26" customHeight="1">
      <x:c r="A62"/>
      <x:c r="B62"/>
      <x:c r="C62"/>
      <x:c r="D62"/>
      <x:c r="E62"/>
      <x:c r="F62"/>
      <x:c r="G62"/>
      <x:c r="H62"/>
      <x:c r="I62"/>
      <x:c r="J62"/>
      <x:c r="K62"/>
    </x:row>
    <x:row r="63" ht="26" customHeight="1">
      <x:c r="A63"/>
      <x:c r="B63"/>
      <x:c r="C63"/>
      <x:c r="D63"/>
      <x:c r="E63"/>
      <x:c r="F63"/>
      <x:c r="G63"/>
      <x:c r="H63"/>
      <x:c r="I63"/>
      <x:c r="J63"/>
      <x:c r="K63"/>
    </x:row>
    <x:row r="64" ht="26" customHeight="1">
      <x:c r="A64"/>
      <x:c r="B64"/>
      <x:c r="C64"/>
      <x:c r="D64"/>
      <x:c r="E64"/>
      <x:c r="F64"/>
      <x:c r="G64"/>
      <x:c r="H64"/>
      <x:c r="I64"/>
      <x:c r="J64"/>
      <x:c r="K64"/>
    </x:row>
    <x:row r="65" ht="26" customHeight="1">
      <x:c r="A65"/>
      <x:c r="B65"/>
      <x:c r="C65"/>
      <x:c r="D65"/>
      <x:c r="E65"/>
      <x:c r="F65"/>
      <x:c r="G65"/>
      <x:c r="H65"/>
      <x:c r="I65"/>
      <x:c r="J65"/>
      <x:c r="K65"/>
    </x:row>
    <x:row r="66" ht="26" customHeight="1">
      <x:c r="A66"/>
      <x:c r="B66"/>
      <x:c r="C66"/>
      <x:c r="D66"/>
      <x:c r="E66"/>
      <x:c r="F66"/>
      <x:c r="G66"/>
      <x:c r="H66"/>
      <x:c r="I66"/>
      <x:c r="J66"/>
      <x:c r="K66"/>
    </x:row>
    <x:row r="67" ht="26" customHeight="1">
      <x:c r="A67"/>
      <x:c r="B67"/>
      <x:c r="C67"/>
      <x:c r="D67"/>
      <x:c r="E67"/>
      <x:c r="F67"/>
      <x:c r="G67"/>
      <x:c r="H67"/>
      <x:c r="I67"/>
      <x:c r="J67"/>
      <x:c r="K67"/>
    </x:row>
    <x:row r="68" ht="26" customHeight="1">
      <x:c r="A68"/>
      <x:c r="B68"/>
      <x:c r="C68"/>
      <x:c r="D68"/>
      <x:c r="E68"/>
      <x:c r="F68"/>
      <x:c r="G68"/>
      <x:c r="H68"/>
      <x:c r="I68"/>
      <x:c r="J68"/>
      <x:c r="K68"/>
    </x:row>
    <x:row r="69" ht="26" customHeight="1">
      <x:c r="A69"/>
      <x:c r="B69"/>
      <x:c r="C69"/>
      <x:c r="D69"/>
      <x:c r="E69"/>
      <x:c r="F69"/>
      <x:c r="G69"/>
      <x:c r="H69"/>
      <x:c r="I69"/>
      <x:c r="J69"/>
      <x:c r="K69"/>
    </x:row>
    <x:row r="70" ht="26" customHeight="1">
      <x:c r="A70"/>
      <x:c r="B70"/>
      <x:c r="C70"/>
      <x:c r="D70"/>
      <x:c r="E70"/>
      <x:c r="F70"/>
      <x:c r="G70"/>
      <x:c r="H70"/>
      <x:c r="I70"/>
      <x:c r="J70"/>
      <x:c r="K70"/>
    </x:row>
    <x:row r="71" ht="26" customHeight="1">
      <x:c r="A71"/>
      <x:c r="B71"/>
      <x:c r="C71"/>
      <x:c r="D71"/>
      <x:c r="E71"/>
      <x:c r="F71"/>
      <x:c r="G71"/>
      <x:c r="H71"/>
      <x:c r="I71"/>
      <x:c r="J71"/>
      <x:c r="K71"/>
    </x:row>
    <x:row r="72" ht="26" customHeight="1">
      <x:c r="A72"/>
      <x:c r="B72"/>
      <x:c r="C72"/>
      <x:c r="D72"/>
      <x:c r="E72"/>
      <x:c r="F72"/>
      <x:c r="G72"/>
      <x:c r="H72"/>
      <x:c r="I72"/>
      <x:c r="J72"/>
      <x:c r="K72"/>
    </x:row>
    <x:row r="73" ht="26" customHeight="1">
      <x:c r="A73"/>
      <x:c r="B73"/>
      <x:c r="C73"/>
      <x:c r="D73"/>
      <x:c r="E73"/>
      <x:c r="F73"/>
      <x:c r="G73"/>
      <x:c r="H73"/>
      <x:c r="I73"/>
      <x:c r="J73"/>
      <x:c r="K73"/>
    </x:row>
    <x:row r="74" ht="26" customHeight="1">
      <x:c r="A74"/>
      <x:c r="B74"/>
      <x:c r="C74"/>
      <x:c r="D74"/>
      <x:c r="E74"/>
      <x:c r="F74"/>
      <x:c r="G74"/>
      <x:c r="H74"/>
      <x:c r="I74"/>
      <x:c r="J74"/>
      <x:c r="K74"/>
    </x:row>
    <x:row r="75" ht="26" customHeight="1">
      <x:c r="A75"/>
      <x:c r="B75"/>
      <x:c r="C75"/>
      <x:c r="D75"/>
      <x:c r="E75"/>
      <x:c r="F75"/>
      <x:c r="G75"/>
      <x:c r="H75"/>
      <x:c r="I75"/>
      <x:c r="J75"/>
      <x:c r="K75"/>
    </x:row>
    <x:row r="76" ht="26" customHeight="1">
      <x:c r="A76"/>
      <x:c r="B76"/>
      <x:c r="C76"/>
      <x:c r="D76"/>
      <x:c r="E76"/>
      <x:c r="F76"/>
      <x:c r="G76"/>
      <x:c r="H76"/>
      <x:c r="I76"/>
      <x:c r="J76"/>
      <x:c r="K76"/>
    </x:row>
    <x:row r="77" ht="26" customHeight="1">
      <x:c r="A77"/>
      <x:c r="B77"/>
      <x:c r="C77"/>
      <x:c r="D77"/>
      <x:c r="E77"/>
      <x:c r="F77"/>
      <x:c r="G77"/>
      <x:c r="H77"/>
      <x:c r="I77"/>
      <x:c r="J77"/>
      <x:c r="K77"/>
    </x:row>
    <x:row r="78" ht="26" customHeight="1">
      <x:c r="A78"/>
      <x:c r="B78"/>
      <x:c r="C78"/>
      <x:c r="D78"/>
      <x:c r="E78"/>
      <x:c r="F78"/>
      <x:c r="G78"/>
      <x:c r="H78"/>
      <x:c r="I78"/>
      <x:c r="J78"/>
      <x:c r="K78"/>
    </x:row>
    <x:row r="79" ht="26" customHeight="1">
      <x:c r="A79"/>
      <x:c r="B79"/>
      <x:c r="C79"/>
      <x:c r="D79"/>
      <x:c r="E79"/>
      <x:c r="F79"/>
      <x:c r="G79"/>
      <x:c r="H79"/>
      <x:c r="I79"/>
      <x:c r="J79"/>
      <x:c r="K79"/>
    </x:row>
    <x:row r="80" ht="26" customHeight="1">
      <x:c r="A80"/>
      <x:c r="B80"/>
      <x:c r="C80"/>
      <x:c r="D80"/>
      <x:c r="E80"/>
      <x:c r="F80"/>
      <x:c r="G80"/>
      <x:c r="H80"/>
      <x:c r="I80"/>
      <x:c r="J80"/>
      <x:c r="K80"/>
    </x:row>
    <x:row r="81" ht="26" customHeight="1">
      <x:c r="A81"/>
      <x:c r="B81"/>
      <x:c r="C81"/>
      <x:c r="D81"/>
      <x:c r="E81"/>
      <x:c r="F81"/>
      <x:c r="G81"/>
      <x:c r="H81"/>
      <x:c r="I81"/>
      <x:c r="J81"/>
      <x:c r="K81"/>
    </x:row>
    <x:row r="82" ht="26" customHeight="1">
      <x:c r="A82"/>
      <x:c r="B82"/>
      <x:c r="C82"/>
      <x:c r="D82"/>
      <x:c r="E82"/>
      <x:c r="F82"/>
      <x:c r="G82"/>
      <x:c r="H82"/>
      <x:c r="I82"/>
      <x:c r="J82"/>
      <x:c r="K82"/>
    </x:row>
    <x:row r="83" ht="26" customHeight="1">
      <x:c r="A83"/>
      <x:c r="B83"/>
      <x:c r="C83"/>
      <x:c r="D83"/>
      <x:c r="E83"/>
      <x:c r="F83"/>
      <x:c r="G83"/>
      <x:c r="H83"/>
      <x:c r="I83"/>
      <x:c r="J83"/>
      <x:c r="K83"/>
    </x:row>
    <x:row r="84" ht="26" customHeight="1">
      <x:c r="A84"/>
      <x:c r="B84"/>
      <x:c r="C84"/>
      <x:c r="D84"/>
      <x:c r="E84"/>
      <x:c r="F84"/>
      <x:c r="G84"/>
      <x:c r="H84"/>
      <x:c r="I84"/>
      <x:c r="J84"/>
      <x:c r="K84"/>
    </x:row>
    <x:row r="85" ht="26" customHeight="1">
      <x:c r="A85"/>
      <x:c r="B85"/>
      <x:c r="C85"/>
      <x:c r="D85"/>
      <x:c r="E85"/>
      <x:c r="F85"/>
      <x:c r="G85"/>
      <x:c r="H85"/>
      <x:c r="I85"/>
      <x:c r="J85"/>
      <x:c r="K85"/>
    </x:row>
    <x:row r="86" ht="26" customHeight="1">
      <x:c r="A86"/>
      <x:c r="B86"/>
      <x:c r="C86"/>
      <x:c r="D86"/>
      <x:c r="E86"/>
      <x:c r="F86"/>
      <x:c r="G86"/>
      <x:c r="H86"/>
      <x:c r="I86"/>
      <x:c r="J86"/>
      <x:c r="K86"/>
    </x:row>
    <x:row r="87" ht="26" customHeight="1">
      <x:c r="A87"/>
      <x:c r="B87"/>
      <x:c r="C87"/>
      <x:c r="D87"/>
      <x:c r="E87"/>
      <x:c r="F87"/>
      <x:c r="G87"/>
      <x:c r="H87"/>
      <x:c r="I87"/>
      <x:c r="J87"/>
      <x:c r="K87"/>
    </x:row>
    <x:row r="88" ht="26" customHeight="1">
      <x:c r="A88"/>
      <x:c r="B88"/>
      <x:c r="C88"/>
      <x:c r="D88"/>
      <x:c r="E88"/>
      <x:c r="F88"/>
      <x:c r="G88"/>
      <x:c r="H88"/>
      <x:c r="I88"/>
      <x:c r="J88"/>
      <x:c r="K88"/>
    </x:row>
    <x:row r="89" ht="26" customHeight="1">
      <x:c r="A89"/>
      <x:c r="B89"/>
      <x:c r="C89"/>
      <x:c r="D89"/>
      <x:c r="E89"/>
      <x:c r="F89"/>
      <x:c r="G89"/>
      <x:c r="H89"/>
      <x:c r="I89"/>
      <x:c r="J89"/>
      <x:c r="K89"/>
    </x:row>
    <x:row r="90" ht="26" customHeight="1">
      <x:c r="A90"/>
      <x:c r="B90"/>
      <x:c r="C90"/>
      <x:c r="D90"/>
      <x:c r="E90"/>
      <x:c r="F90"/>
      <x:c r="G90"/>
      <x:c r="H90"/>
      <x:c r="I90"/>
      <x:c r="J90"/>
      <x:c r="K90"/>
    </x:row>
    <x:row r="91" ht="26" customHeight="1">
      <x:c r="A91"/>
      <x:c r="B91"/>
      <x:c r="C91"/>
      <x:c r="D91"/>
      <x:c r="E91"/>
      <x:c r="F91"/>
      <x:c r="G91"/>
      <x:c r="H91"/>
      <x:c r="I91"/>
      <x:c r="J91"/>
      <x:c r="K91"/>
    </x:row>
    <x:row r="92" ht="26" customHeight="1">
      <x:c r="A92"/>
      <x:c r="B92"/>
      <x:c r="C92"/>
      <x:c r="D92"/>
      <x:c r="E92"/>
      <x:c r="F92"/>
      <x:c r="G92"/>
      <x:c r="H92"/>
      <x:c r="I92"/>
      <x:c r="J92"/>
      <x:c r="K92"/>
    </x:row>
    <x:row r="93" ht="26" customHeight="1">
      <x:c r="A93"/>
      <x:c r="B93"/>
      <x:c r="C93"/>
      <x:c r="D93"/>
      <x:c r="E93"/>
      <x:c r="F93"/>
      <x:c r="G93"/>
      <x:c r="H93"/>
      <x:c r="I93"/>
      <x:c r="J93"/>
      <x:c r="K93"/>
    </x:row>
    <x:row r="94" ht="26" customHeight="1">
      <x:c r="A94"/>
      <x:c r="B94"/>
      <x:c r="C94"/>
      <x:c r="D94"/>
      <x:c r="E94"/>
      <x:c r="F94"/>
      <x:c r="G94"/>
      <x:c r="H94"/>
      <x:c r="I94"/>
      <x:c r="J94"/>
      <x:c r="K94"/>
    </x:row>
    <x:row r="95" ht="22" customHeight="1">
      <x:c r="A95"/>
      <x:c r="B95"/>
      <x:c r="C95"/>
      <x:c r="D95"/>
      <x:c r="E95"/>
      <x:c r="F95"/>
      <x:c r="G95"/>
      <x:c r="H95"/>
      <x:c r="I95"/>
      <x:c r="J95"/>
      <x:c r="K95"/>
    </x:row>
    <x:row r="96" ht="22" customHeight="1">
      <x:c r="A96"/>
      <x:c r="B96"/>
      <x:c r="C96"/>
      <x:c r="D96"/>
      <x:c r="E96"/>
      <x:c r="F96"/>
      <x:c r="G96"/>
      <x:c r="H96"/>
      <x:c r="I96"/>
      <x:c r="J96"/>
      <x:c r="K96"/>
    </x:row>
    <x:row r="97" ht="26" customHeight="1">
      <x:c r="A97"/>
      <x:c r="B97"/>
      <x:c r="C97"/>
      <x:c r="D97"/>
      <x:c r="E97"/>
      <x:c r="F97"/>
      <x:c r="G97"/>
      <x:c r="H97"/>
      <x:c r="I97"/>
      <x:c r="J97"/>
      <x:c r="K97"/>
    </x:row>
    <x:row r="98" ht="54" customHeight="1">
      <x:c r="A98"/>
      <x:c r="B98"/>
      <x:c r="C98"/>
      <x:c r="D98"/>
      <x:c r="E98"/>
      <x:c r="F98"/>
      <x:c r="G98"/>
      <x:c r="H98"/>
      <x:c r="I98"/>
      <x:c r="J98"/>
      <x:c r="K98"/>
    </x:row>
    <x:row r="99" ht="24" customHeight="1">
      <x:c r="A99"/>
      <x:c r="B99"/>
      <x:c r="C99"/>
      <x:c r="D99"/>
      <x:c r="E99"/>
      <x:c r="F99"/>
      <x:c r="G99"/>
      <x:c r="H99"/>
      <x:c r="I99"/>
      <x:c r="J99"/>
      <x:c r="K99"/>
    </x:row>
    <x:row r="100" ht="24" customHeight="1">
      <x:c r="A100"/>
      <x:c r="B100"/>
      <x:c r="C100"/>
      <x:c r="D100"/>
      <x:c r="E100"/>
      <x:c r="F100"/>
      <x:c r="G100"/>
      <x:c r="H100"/>
      <x:c r="I100"/>
      <x:c r="J100"/>
      <x:c r="K100"/>
    </x:row>
    <x:row r="101" ht="24" customHeight="1">
      <x:c r="A101"/>
      <x:c r="B101"/>
      <x:c r="C101"/>
      <x:c r="D101"/>
      <x:c r="E101"/>
      <x:c r="F101"/>
      <x:c r="G101"/>
      <x:c r="H101"/>
      <x:c r="I101"/>
      <x:c r="J101"/>
      <x:c r="K101"/>
    </x:row>
    <x:row r="102" ht="24" customHeight="1">
      <x:c r="A102"/>
      <x:c r="B102"/>
      <x:c r="C102"/>
      <x:c r="D102"/>
      <x:c r="E102"/>
      <x:c r="F102"/>
      <x:c r="G102"/>
      <x:c r="H102"/>
      <x:c r="I102"/>
      <x:c r="J102"/>
      <x:c r="K102"/>
    </x:row>
    <x:row r="103" ht="24" customHeight="1">
      <x:c r="A103"/>
      <x:c r="B103"/>
      <x:c r="C103"/>
      <x:c r="D103"/>
      <x:c r="E103"/>
      <x:c r="F103"/>
      <x:c r="G103"/>
      <x:c r="H103"/>
      <x:c r="I103"/>
      <x:c r="J103"/>
      <x:c r="K103"/>
    </x:row>
    <x:row r="104" ht="24" customHeight="1">
      <x:c r="A104"/>
      <x:c r="B104"/>
      <x:c r="C104"/>
      <x:c r="D104"/>
      <x:c r="E104"/>
      <x:c r="F104"/>
      <x:c r="G104"/>
      <x:c r="H104"/>
      <x:c r="I104"/>
      <x:c r="J104"/>
      <x:c r="K104"/>
    </x:row>
    <x:row r="105" ht="24" customHeight="1">
      <x:c r="A105"/>
      <x:c r="B105"/>
      <x:c r="C105"/>
      <x:c r="D105"/>
      <x:c r="E105"/>
      <x:c r="F105"/>
      <x:c r="G105"/>
      <x:c r="H105"/>
      <x:c r="I105"/>
      <x:c r="J105"/>
      <x:c r="K105"/>
    </x:row>
    <x:row r="106" ht="24" customHeight="1">
      <x:c r="A106"/>
      <x:c r="B106"/>
      <x:c r="C106"/>
      <x:c r="D106"/>
      <x:c r="E106"/>
      <x:c r="F106"/>
      <x:c r="G106"/>
      <x:c r="H106"/>
      <x:c r="I106"/>
      <x:c r="J106"/>
      <x:c r="K106"/>
    </x:row>
    <x:row r="107" ht="22" customHeight="1">
      <x:c r="A107"/>
      <x:c r="B107"/>
      <x:c r="C107"/>
      <x:c r="D107"/>
      <x:c r="E107"/>
      <x:c r="F107"/>
      <x:c r="G107"/>
      <x:c r="H107"/>
      <x:c r="I107"/>
      <x:c r="J107"/>
      <x:c r="K107"/>
    </x:row>
    <x:row r="108" ht="22" customHeight="1">
      <x:c r="A108"/>
      <x:c r="B108"/>
      <x:c r="C108"/>
      <x:c r="D108"/>
      <x:c r="E108"/>
      <x:c r="F108"/>
      <x:c r="G108"/>
      <x:c r="H108"/>
      <x:c r="I108"/>
      <x:c r="J108"/>
      <x:c r="K108"/>
    </x:row>
    <x:row r="109" ht="26" customHeight="1">
      <x:c r="A109"/>
      <x:c r="B109"/>
      <x:c r="C109"/>
      <x:c r="D109"/>
      <x:c r="E109"/>
      <x:c r="F109"/>
      <x:c r="G109"/>
      <x:c r="H109"/>
      <x:c r="I109"/>
      <x:c r="J109"/>
      <x:c r="K109"/>
    </x:row>
    <x:row r="110" ht="54" customHeight="1">
      <x:c r="A110"/>
      <x:c r="B110"/>
      <x:c r="C110"/>
      <x:c r="D110"/>
      <x:c r="E110"/>
      <x:c r="F110"/>
      <x:c r="G110"/>
      <x:c r="H110"/>
      <x:c r="I110"/>
      <x:c r="J110"/>
      <x:c r="K110"/>
    </x:row>
    <x:row r="111" ht="24" customHeight="1">
      <x:c r="A111"/>
      <x:c r="B111"/>
      <x:c r="C111"/>
      <x:c r="D111"/>
      <x:c r="E111"/>
      <x:c r="F111"/>
      <x:c r="G111"/>
      <x:c r="H111"/>
      <x:c r="I111"/>
      <x:c r="J111"/>
      <x:c r="K111"/>
    </x:row>
    <x:row r="112" ht="24" customHeight="1">
      <x:c r="A112"/>
      <x:c r="B112"/>
      <x:c r="C112"/>
      <x:c r="D112"/>
      <x:c r="E112"/>
      <x:c r="F112"/>
      <x:c r="G112"/>
      <x:c r="H112"/>
      <x:c r="I112"/>
      <x:c r="J112"/>
      <x:c r="K112"/>
    </x:row>
    <x:row r="113" ht="24" customHeight="1">
      <x:c r="A113"/>
      <x:c r="B113"/>
      <x:c r="C113"/>
      <x:c r="D113"/>
      <x:c r="E113"/>
      <x:c r="F113"/>
      <x:c r="G113"/>
      <x:c r="H113"/>
      <x:c r="I113"/>
      <x:c r="J113"/>
      <x:c r="K113"/>
    </x:row>
    <x:row r="114" ht="24" customHeight="1">
      <x:c r="A114"/>
      <x:c r="B114"/>
      <x:c r="C114"/>
      <x:c r="D114"/>
      <x:c r="E114"/>
      <x:c r="F114"/>
      <x:c r="G114"/>
      <x:c r="H114"/>
      <x:c r="I114"/>
      <x:c r="J114"/>
      <x:c r="K114"/>
    </x:row>
    <x:row r="115" ht="24" customHeight="1">
      <x:c r="A115"/>
      <x:c r="B115"/>
      <x:c r="C115"/>
      <x:c r="D115"/>
      <x:c r="E115"/>
      <x:c r="F115"/>
      <x:c r="G115"/>
      <x:c r="H115"/>
      <x:c r="I115"/>
      <x:c r="J115"/>
      <x:c r="K115"/>
    </x:row>
    <x:row r="116" ht="24" customHeight="1">
      <x:c r="A116"/>
      <x:c r="B116"/>
      <x:c r="C116"/>
      <x:c r="D116"/>
      <x:c r="E116"/>
      <x:c r="F116"/>
      <x:c r="G116"/>
      <x:c r="H116"/>
      <x:c r="I116"/>
      <x:c r="J116"/>
      <x:c r="K116"/>
    </x:row>
    <x:row r="117" ht="24" customHeight="1">
      <x:c r="A117"/>
      <x:c r="B117"/>
      <x:c r="C117"/>
      <x:c r="D117"/>
      <x:c r="E117"/>
      <x:c r="F117"/>
      <x:c r="G117"/>
      <x:c r="H117"/>
      <x:c r="I117"/>
      <x:c r="J117"/>
      <x:c r="K117"/>
    </x:row>
    <x:row r="118" ht="24" customHeight="1">
      <x:c r="A118"/>
      <x:c r="B118"/>
      <x:c r="C118"/>
      <x:c r="D118"/>
      <x:c r="E118"/>
      <x:c r="F118"/>
      <x:c r="G118"/>
      <x:c r="H118"/>
      <x:c r="I118"/>
      <x:c r="J118"/>
      <x:c r="K118"/>
    </x:row>
    <x:row r="119" ht="22" customHeight="1">
      <x:c r="A119"/>
      <x:c r="B119"/>
      <x:c r="C119"/>
      <x:c r="D119"/>
      <x:c r="E119"/>
      <x:c r="F119"/>
      <x:c r="G119"/>
      <x:c r="H119"/>
      <x:c r="I119"/>
      <x:c r="J119"/>
      <x:c r="K119"/>
    </x:row>
    <x:row r="120" ht="22" customHeight="1">
      <x:c r="A120"/>
      <x:c r="B120"/>
      <x:c r="C120"/>
      <x:c r="D120"/>
      <x:c r="E120"/>
      <x:c r="F120"/>
      <x:c r="G120"/>
      <x:c r="H120"/>
      <x:c r="I120"/>
      <x:c r="J120"/>
      <x:c r="K120"/>
    </x:row>
  </x:sheetData>
  <x:mergeCells>
    <x:mergeCell ref="A2:C2"/>
    <x:mergeCell ref="A4:C5"/>
    <x:mergeCell ref="A17:C18"/>
    <x:mergeCell ref="A20:C20"/>
    <x:mergeCell ref="A24:C24"/>
    <x:mergeCell ref="A28:C30"/>
  </x:mergeCells>
  <x:pageMargins left="0.7" right="0.7" top="0.75" bottom="0.75" header="0.3" footer="0.3"/>
  <x:tableParts count="1">
    <x:tablePart xmlns:r="http://schemas.openxmlformats.org/officeDocument/2006/relationships" r:id="R7be8d8bc0bb640e1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13.329999923706055" hidden="0" customWidth="1"/>
    <x:col min="2" max="2" width="9.4399995803833" hidden="0" customWidth="1"/>
    <x:col min="3" max="3" width="36.66999816894531" hidden="0" customWidth="1"/>
    <x:col min="4" max="4" width="11.109999656677246" hidden="0" customWidth="1"/>
    <x:col min="5" max="5" width="13.329999923706055" hidden="0" customWidth="1"/>
    <x:col min="6" max="6" width="13.329999923706055" hidden="0" customWidth="1"/>
    <x:col min="7" max="7" width="14.4399995803833" hidden="0" customWidth="1"/>
    <x:col min="8" max="8" width="14.4399995803833" hidden="0" customWidth="1"/>
    <x:col min="9" max="9" width="14.4399995803833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8" customHeight="1">
      <x:c r="A2" s="2" t="inlineStr">
        <x:is>
          <x:t xml:space="preserve">Aktuelle Wörterbuchkategorien: Gesamtzeitraum und Jahreswerte</x:t>
        </x:is>
      </x:c>
      <x:c r="B2" s="3"/>
      <x:c r="C2" s="3"/>
      <x:c r="D2" s="3"/>
      <x:c r="E2" s="3"/>
      <x:c r="F2" s="3"/>
      <x:c r="G2" s="3"/>
      <x:c r="H2" s="3"/>
      <x:c r="I2" s="3"/>
    </x:row>
    <x:row r="3" ht="22" customHeight="1">
      <x:c r="A3" s="4" t="inlineStr">
        <x:is>
          <x:t xml:space="preserve">Ökologie: 7 Kategorien. Ökonomie: 7 Kategorien. Sicherheit und Resilienz: 5 Kategorien.</x:t>
        </x:is>
      </x:c>
      <x:c r="B3" s="1"/>
      <x:c r="C3" s="1"/>
      <x:c r="D3" s="1"/>
      <x:c r="E3" s="1"/>
      <x:c r="F3" s="1"/>
      <x:c r="G3" s="1"/>
      <x:c r="H3" s="1"/>
      <x:c r="I3" s="1"/>
    </x:row>
    <x:row r="4" ht="22" customHeight="1">
      <x:c r="A4" s="4" t="inlineStr">
        <x:is>
          <x:t xml:space="preserve">Ein Satz kann mehrere Kategorien tragen. Kategorieanteile sind daher nicht zu einem Dimensionsanteil addierbar.</x:t>
        </x:is>
      </x:c>
      <x:c r="B4" s="1"/>
      <x:c r="C4" s="1"/>
      <x:c r="D4" s="1"/>
      <x:c r="E4" s="1"/>
      <x:c r="F4" s="1"/>
      <x:c r="G4" s="1"/>
      <x:c r="H4" s="1"/>
      <x:c r="I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</x:row>
    <x:row r="7" ht="26" customHeight="1">
      <x:c r="A7" s="10" t="inlineStr">
        <x:is>
          <x:t xml:space="preserve">Gesamtzeitraum</x:t>
        </x:is>
      </x:c>
      <x:c r="B7" s="1"/>
      <x:c r="C7" s="1"/>
      <x:c r="D7" s="1"/>
      <x:c r="E7" s="1"/>
      <x:c r="F7" s="1"/>
      <x:c r="G7" s="1"/>
      <x:c r="H7" s="1"/>
      <x:c r="I7" s="1"/>
    </x:row>
    <x:row r="8" ht="54" customHeight="1">
      <x:c r="A8" s="11" t="inlineStr">
        <x:is>
          <x:t xml:space="preserve">Dimension</x:t>
        </x:is>
      </x:c>
      <x:c r="B8" s="20" t="inlineStr">
        <x:is>
          <x:t xml:space="preserve">Kategorie</x:t>
        </x:is>
      </x:c>
      <x:c r="C8" s="20" t="inlineStr">
        <x:is>
          <x:t xml:space="preserve">Bezeichnung</x:t>
        </x:is>
      </x:c>
      <x:c r="D8" s="20" t="inlineStr">
        <x:is>
          <x:t xml:space="preserve">Sätze n</x:t>
        </x:is>
      </x:c>
      <x:c r="E8" s="20" t="inlineStr">
        <x:is>
          <x:t xml:space="preserve">A&amp;E n</x:t>
        </x:is>
      </x:c>
      <x:c r="F8" s="20" t="inlineStr">
        <x:is>
          <x:t xml:space="preserve">Anteil an A&amp;E</x:t>
        </x:is>
      </x:c>
      <x:c r="G8" s="20" t="inlineStr">
        <x:is>
          <x:t xml:space="preserve">Dimension n</x:t>
        </x:is>
      </x:c>
      <x:c r="H8" s="12" t="inlineStr">
        <x:is>
          <x:t xml:space="preserve">Anteil an Dimension</x:t>
        </x:is>
      </x:c>
      <x:c r="I8" s="1"/>
    </x:row>
    <x:row r="9" ht="36" customHeight="1">
      <x:c r="A9" s="13" t="inlineStr">
        <x:is>
          <x:t xml:space="preserve">Ökologie</x:t>
        </x:is>
      </x:c>
      <x:c r="B9" s="13" t="n">
        <x:v>1</x:v>
      </x:c>
      <x:c r="C9" s="13" t="inlineStr">
        <x:is>
          <x:t xml:space="preserve">Pflanzenschutz, Artenvielfalt und Agrarlebensräume</x:t>
        </x:is>
      </x:c>
      <x:c r="D9" s="14">
        <x:v>1721</x:v>
      </x:c>
      <x:c r="E9" s="14">
        <x:v>25247</x:v>
      </x:c>
      <x:c r="F9" s="22">
        <x:f>D9/E9</x:f>
        <x:v>0.06816651483344556</x:v>
      </x:c>
      <x:c r="G9" s="14">
        <x:v>6481</x:v>
      </x:c>
      <x:c r="H9" s="22">
        <x:f>D9/G9</x:f>
        <x:v>0.26554544051843854</x:v>
      </x:c>
      <x:c r="I9" s="1"/>
    </x:row>
    <x:row r="10" ht="36" customHeight="1">
      <x:c r="A10" s="15" t="inlineStr">
        <x:is>
          <x:t xml:space="preserve">Ökologie</x:t>
        </x:is>
      </x:c>
      <x:c r="B10" s="15" t="n">
        <x:v>2</x:v>
      </x:c>
      <x:c r="C10" s="15" t="inlineStr">
        <x:is>
          <x:t xml:space="preserve">Tierwohl, Tiergesundheit und Haltung</x:t>
        </x:is>
      </x:c>
      <x:c r="D10" s="16">
        <x:v>1586</x:v>
      </x:c>
      <x:c r="E10" s="16">
        <x:v>25247</x:v>
      </x:c>
      <x:c r="F10" s="25">
        <x:f>D10/E10</x:f>
        <x:v>0.06281934487265814</x:v>
      </x:c>
      <x:c r="G10" s="16">
        <x:v>6481</x:v>
      </x:c>
      <x:c r="H10" s="25">
        <x:f>D10/G10</x:f>
        <x:v>0.24471532170961272</x:v>
      </x:c>
      <x:c r="I10" s="1"/>
    </x:row>
    <x:row r="11" ht="36" customHeight="1">
      <x:c r="A11" s="13" t="inlineStr">
        <x:is>
          <x:t xml:space="preserve">Ökologie</x:t>
        </x:is>
      </x:c>
      <x:c r="B11" s="13" t="n">
        <x:v>3</x:v>
      </x:c>
      <x:c r="C11" s="13" t="inlineStr">
        <x:is>
          <x:t xml:space="preserve">Düngung, Boden und Gewässer</x:t>
        </x:is>
      </x:c>
      <x:c r="D11" s="14">
        <x:v>715</x:v>
      </x:c>
      <x:c r="E11" s="14">
        <x:v>25247</x:v>
      </x:c>
      <x:c r="F11" s="22">
        <x:f>D11/E11</x:f>
        <x:v>0.028320196458985227</x:v>
      </x:c>
      <x:c r="G11" s="14">
        <x:v>6481</x:v>
      </x:c>
      <x:c r="H11" s="22">
        <x:f>D11/G11</x:f>
        <x:v>0.1103224810985959</x:v>
      </x:c>
      <x:c r="I11" s="1"/>
    </x:row>
    <x:row r="12" ht="36" customHeight="1">
      <x:c r="A12" s="15" t="inlineStr">
        <x:is>
          <x:t xml:space="preserve">Ökologie</x:t>
        </x:is>
      </x:c>
      <x:c r="B12" s="15" t="n">
        <x:v>4</x:v>
      </x:c>
      <x:c r="C12" s="15" t="inlineStr">
        <x:is>
          <x:t xml:space="preserve">Klima, Emissionen und erneuerbare Energien</x:t>
        </x:is>
      </x:c>
      <x:c r="D12" s="16">
        <x:v>1177</x:v>
      </x:c>
      <x:c r="E12" s="16">
        <x:v>25247</x:v>
      </x:c>
      <x:c r="F12" s="25">
        <x:f>D12/E12</x:f>
        <x:v>0.04661940032479107</x:v>
      </x:c>
      <x:c r="G12" s="16">
        <x:v>6481</x:v>
      </x:c>
      <x:c r="H12" s="25">
        <x:f>D12/G12</x:f>
        <x:v>0.18160777657768862</x:v>
      </x:c>
      <x:c r="I12" s="1"/>
    </x:row>
    <x:row r="13" ht="36" customHeight="1">
      <x:c r="A13" s="13" t="inlineStr">
        <x:is>
          <x:t xml:space="preserve">Ökologie</x:t>
        </x:is>
      </x:c>
      <x:c r="B13" s="13" t="n">
        <x:v>5</x:v>
      </x:c>
      <x:c r="C13" s="13" t="inlineStr">
        <x:is>
          <x:t xml:space="preserve">Ökolandbau, Anbauweisen und Agrarumweltinstrumente</x:t>
        </x:is>
      </x:c>
      <x:c r="D13" s="14">
        <x:v>789</x:v>
      </x:c>
      <x:c r="E13" s="14">
        <x:v>25247</x:v>
      </x:c>
      <x:c r="F13" s="22">
        <x:f>D13/E13</x:f>
        <x:v>0.03125123777082426</x:v>
      </x:c>
      <x:c r="G13" s="14">
        <x:v>6481</x:v>
      </x:c>
      <x:c r="H13" s="22">
        <x:f>D13/G13</x:f>
        <x:v>0.12174047214935967</x:v>
      </x:c>
      <x:c r="I13" s="1"/>
    </x:row>
    <x:row r="14" ht="36" customHeight="1">
      <x:c r="A14" s="15" t="inlineStr">
        <x:is>
          <x:t xml:space="preserve">Ökologie</x:t>
        </x:is>
      </x:c>
      <x:c r="B14" s="15" t="n">
        <x:v>6</x:v>
      </x:c>
      <x:c r="C14" s="15" t="inlineStr">
        <x:is>
          <x:t xml:space="preserve">Ressourcen, Kreislaufwirtschaft und Lebensmittelverluste</x:t>
        </x:is>
      </x:c>
      <x:c r="D14" s="16">
        <x:v>221</x:v>
      </x:c>
      <x:c r="E14" s="16">
        <x:v>25247</x:v>
      </x:c>
      <x:c r="F14" s="25">
        <x:f>D14/E14</x:f>
        <x:v>0.008753515269140888</x:v>
      </x:c>
      <x:c r="G14" s="16">
        <x:v>6481</x:v>
      </x:c>
      <x:c r="H14" s="25">
        <x:f>D14/G14</x:f>
        <x:v>0.03409967597592964</x:v>
      </x:c>
      <x:c r="I14" s="1"/>
    </x:row>
    <x:row r="15" ht="36" customHeight="1">
      <x:c r="A15" s="13" t="inlineStr">
        <x:is>
          <x:t xml:space="preserve">Ökologie</x:t>
        </x:is>
      </x:c>
      <x:c r="B15" s="13" t="n">
        <x:v>7</x:v>
      </x:c>
      <x:c r="C15" s="13" t="inlineStr">
        <x:is>
          <x:t xml:space="preserve">Umwelt, Ökologie und Nachhaltigkeitsbegriffe</x:t>
        </x:is>
      </x:c>
      <x:c r="D15" s="14">
        <x:v>1432</x:v>
      </x:c>
      <x:c r="E15" s="14">
        <x:v>25247</x:v>
      </x:c>
      <x:c r="F15" s="22">
        <x:f>D15/E15</x:f>
        <x:v>0.056719610250722856</x:v>
      </x:c>
      <x:c r="G15" s="14">
        <x:v>6481</x:v>
      </x:c>
      <x:c r="H15" s="22">
        <x:f>D15/G15</x:f>
        <x:v>0.22095355654991514</x:v>
      </x:c>
      <x:c r="I15" s="1"/>
    </x:row>
    <x:row r="16" ht="36" customHeight="1">
      <x:c r="A16" s="15" t="inlineStr">
        <x:is>
          <x:t xml:space="preserve">Ökonomie</x:t>
        </x:is>
      </x:c>
      <x:c r="B16" s="15" t="n">
        <x:v>1</x:v>
      </x:c>
      <x:c r="C16" s="15" t="inlineStr">
        <x:is>
          <x:t xml:space="preserve">Preise und Kosten</x:t>
        </x:is>
      </x:c>
      <x:c r="D16" s="16">
        <x:v>1554</x:v>
      </x:c>
      <x:c r="E16" s="16">
        <x:v>25247</x:v>
      </x:c>
      <x:c r="F16" s="25">
        <x:f>D16/E16</x:f>
        <x:v>0.06155186754861964</x:v>
      </x:c>
      <x:c r="G16" s="16">
        <x:v>5849</x:v>
      </x:c>
      <x:c r="H16" s="25">
        <x:f>D16/G16</x:f>
        <x:v>0.26568644212685927</x:v>
      </x:c>
      <x:c r="I16" s="1"/>
    </x:row>
    <x:row r="17" ht="36" customHeight="1">
      <x:c r="A17" s="13" t="inlineStr">
        <x:is>
          <x:t xml:space="preserve">Ökonomie</x:t>
        </x:is>
      </x:c>
      <x:c r="B17" s="13" t="n">
        <x:v>2</x:v>
      </x:c>
      <x:c r="C17" s="13" t="inlineStr">
        <x:is>
          <x:t xml:space="preserve">Arbeitskosten und Arbeitskräftemangel</x:t>
        </x:is>
      </x:c>
      <x:c r="D17" s="14">
        <x:v>165</x:v>
      </x:c>
      <x:c r="E17" s="14">
        <x:v>25247</x:v>
      </x:c>
      <x:c r="F17" s="22">
        <x:f>D17/E17</x:f>
        <x:v>0.0065354299520735135</x:v>
      </x:c>
      <x:c r="G17" s="14">
        <x:v>5849</x:v>
      </x:c>
      <x:c r="H17" s="22">
        <x:f>D17/G17</x:f>
        <x:v>0.028209950418875022</x:v>
      </x:c>
      <x:c r="I17" s="1"/>
    </x:row>
    <x:row r="18" ht="36" customHeight="1">
      <x:c r="A18" s="15" t="inlineStr">
        <x:is>
          <x:t xml:space="preserve">Ökonomie</x:t>
        </x:is>
      </x:c>
      <x:c r="B18" s="15" t="n">
        <x:v>3</x:v>
      </x:c>
      <x:c r="C18" s="15" t="inlineStr">
        <x:is>
          <x:t xml:space="preserve">Finanzierung, Investition und Zahlungen</x:t>
        </x:is>
      </x:c>
      <x:c r="D18" s="16">
        <x:v>857</x:v>
      </x:c>
      <x:c r="E18" s="16">
        <x:v>25247</x:v>
      </x:c>
      <x:c r="F18" s="25">
        <x:f>D18/E18</x:f>
        <x:v>0.03394462708440607</x:v>
      </x:c>
      <x:c r="G18" s="16">
        <x:v>5849</x:v>
      </x:c>
      <x:c r="H18" s="25">
        <x:f>D18/G18</x:f>
        <x:v>0.14652077278167208</x:v>
      </x:c>
      <x:c r="I18" s="1"/>
    </x:row>
    <x:row r="19" ht="36" customHeight="1">
      <x:c r="A19" s="13" t="inlineStr">
        <x:is>
          <x:t xml:space="preserve">Ökonomie</x:t>
        </x:is>
      </x:c>
      <x:c r="B19" s="13" t="n">
        <x:v>4</x:v>
      </x:c>
      <x:c r="C19" s="13" t="inlineStr">
        <x:is>
          <x:t xml:space="preserve">Märkte, Handel und Wettbewerb</x:t>
        </x:is>
      </x:c>
      <x:c r="D19" s="14">
        <x:v>1318</x:v>
      </x:c>
      <x:c r="E19" s="14">
        <x:v>25247</x:v>
      </x:c>
      <x:c r="F19" s="22">
        <x:f>D19/E19</x:f>
        <x:v>0.052204222283835706</x:v>
      </x:c>
      <x:c r="G19" s="14">
        <x:v>5849</x:v>
      </x:c>
      <x:c r="H19" s="22">
        <x:f>D19/G19</x:f>
        <x:v>0.2253376645580441</x:v>
      </x:c>
      <x:c r="I19" s="1"/>
    </x:row>
    <x:row r="20" ht="36" customHeight="1">
      <x:c r="A20" s="15" t="inlineStr">
        <x:is>
          <x:t xml:space="preserve">Ökonomie</x:t>
        </x:is>
      </x:c>
      <x:c r="B20" s="15" t="n">
        <x:v>5</x:v>
      </x:c>
      <x:c r="C20" s="15" t="inlineStr">
        <x:is>
          <x:t xml:space="preserve">Einkommen, Wirtschaftlichkeit und Fortbestand</x:t>
        </x:is>
      </x:c>
      <x:c r="D20" s="16">
        <x:v>1300</x:v>
      </x:c>
      <x:c r="E20" s="16">
        <x:v>25247</x:v>
      </x:c>
      <x:c r="F20" s="25">
        <x:f>D20/E20</x:f>
        <x:v>0.051491266289064044</x:v>
      </x:c>
      <x:c r="G20" s="16">
        <x:v>5849</x:v>
      </x:c>
      <x:c r="H20" s="25">
        <x:f>D20/G20</x:f>
        <x:v>0.22226021542143956</x:v>
      </x:c>
      <x:c r="I20" s="1"/>
    </x:row>
    <x:row r="21" ht="36" customHeight="1">
      <x:c r="A21" s="13" t="inlineStr">
        <x:is>
          <x:t xml:space="preserve">Ökonomie</x:t>
        </x:is>
      </x:c>
      <x:c r="B21" s="13" t="n">
        <x:v>6</x:v>
      </x:c>
      <x:c r="C21" s="13" t="inlineStr">
        <x:is>
          <x:t xml:space="preserve">Staatliche Zahlungen, Abgaben und Bürokratie</x:t>
        </x:is>
      </x:c>
      <x:c r="D21" s="14">
        <x:v>1342</x:v>
      </x:c>
      <x:c r="E21" s="14">
        <x:v>25247</x:v>
      </x:c>
      <x:c r="F21" s="22">
        <x:f>D21/E21</x:f>
        <x:v>0.05315483027686458</x:v>
      </x:c>
      <x:c r="G21" s="14">
        <x:v>5849</x:v>
      </x:c>
      <x:c r="H21" s="22">
        <x:f>D21/G21</x:f>
        <x:v>0.22944093007351685</x:v>
      </x:c>
      <x:c r="I21" s="1"/>
    </x:row>
    <x:row r="22" ht="36" customHeight="1">
      <x:c r="A22" s="15" t="inlineStr">
        <x:is>
          <x:t xml:space="preserve">Ökonomie</x:t>
        </x:is>
      </x:c>
      <x:c r="B22" s="15" t="n">
        <x:v>7</x:v>
      </x:c>
      <x:c r="C22" s="15" t="inlineStr">
        <x:is>
          <x:t xml:space="preserve">Agrardiesel und Rückvergütung</x:t>
        </x:is>
      </x:c>
      <x:c r="D22" s="16">
        <x:v>485</x:v>
      </x:c>
      <x:c r="E22" s="16">
        <x:v>25247</x:v>
      </x:c>
      <x:c r="F22" s="25">
        <x:f>D22/E22</x:f>
        <x:v>0.01921020319245851</x:v>
      </x:c>
      <x:c r="G22" s="16">
        <x:v>5849</x:v>
      </x:c>
      <x:c r="H22" s="25">
        <x:f>D22/G22</x:f>
        <x:v>0.08292015729184476</x:v>
      </x:c>
      <x:c r="I22" s="1"/>
    </x:row>
    <x:row r="23" ht="36" customHeight="1">
      <x:c r="A23" s="13" t="inlineStr">
        <x:is>
          <x:t xml:space="preserve">S&amp;R</x:t>
        </x:is>
      </x:c>
      <x:c r="B23" s="13" t="n">
        <x:v>1</x:v>
      </x:c>
      <x:c r="C23" s="13" t="inlineStr">
        <x:is>
          <x:t xml:space="preserve">Ernährungssicherheit und Ernährungssicherung</x:t>
        </x:is>
      </x:c>
      <x:c r="D23" s="14">
        <x:v>431</x:v>
      </x:c>
      <x:c r="E23" s="14">
        <x:v>25247</x:v>
      </x:c>
      <x:c r="F23" s="22">
        <x:f>D23/E23</x:f>
        <x:v>0.01707133520814354</x:v>
      </x:c>
      <x:c r="G23" s="14">
        <x:v>1048</x:v>
      </x:c>
      <x:c r="H23" s="22">
        <x:f>D23/G23</x:f>
        <x:v>0.4112595419847328</x:v>
      </x:c>
      <x:c r="I23" s="1"/>
    </x:row>
    <x:row r="24" ht="36" customHeight="1">
      <x:c r="A24" s="15" t="inlineStr">
        <x:is>
          <x:t xml:space="preserve">S&amp;R</x:t>
        </x:is>
      </x:c>
      <x:c r="B24" s="15" t="n">
        <x:v>2</x:v>
      </x:c>
      <x:c r="C24" s="15" t="inlineStr">
        <x:is>
          <x:t xml:space="preserve">Versorgung, Versorgungssicherung und Vorsorge</x:t>
        </x:is>
      </x:c>
      <x:c r="D24" s="16">
        <x:v>287</x:v>
      </x:c>
      <x:c r="E24" s="16">
        <x:v>25247</x:v>
      </x:c>
      <x:c r="F24" s="25">
        <x:f>D24/E24</x:f>
        <x:v>0.011367687249970294</x:v>
      </x:c>
      <x:c r="G24" s="16">
        <x:v>1048</x:v>
      </x:c>
      <x:c r="H24" s="25">
        <x:f>D24/G24</x:f>
        <x:v>0.2738549618320611</x:v>
      </x:c>
      <x:c r="I24" s="1"/>
    </x:row>
    <x:row r="25" ht="36" customHeight="1">
      <x:c r="A25" s="13" t="inlineStr">
        <x:is>
          <x:t xml:space="preserve">S&amp;R</x:t>
        </x:is>
      </x:c>
      <x:c r="B25" s="13" t="n">
        <x:v>3</x:v>
      </x:c>
      <x:c r="C25" s="13" t="inlineStr">
        <x:is>
          <x:t xml:space="preserve">Krisen, Mangel, Knappheit und Engpässe</x:t>
        </x:is>
      </x:c>
      <x:c r="D25" s="14">
        <x:v>134</x:v>
      </x:c>
      <x:c r="E25" s="14">
        <x:v>25247</x:v>
      </x:c>
      <x:c r="F25" s="22">
        <x:f>D25/E25</x:f>
        <x:v>0.005307561294411217</x:v>
      </x:c>
      <x:c r="G25" s="14">
        <x:v>1048</x:v>
      </x:c>
      <x:c r="H25" s="22">
        <x:f>D25/G25</x:f>
        <x:v>0.12786259541984732</x:v>
      </x:c>
      <x:c r="I25" s="1"/>
    </x:row>
    <x:row r="26" ht="36" customHeight="1">
      <x:c r="A26" s="34" t="inlineStr">
        <x:is>
          <x:t xml:space="preserve">S&amp;R</x:t>
        </x:is>
      </x:c>
      <x:c r="B26" s="34" t="n">
        <x:v>4</x:v>
      </x:c>
      <x:c r="C26" s="34" t="inlineStr">
        <x:is>
          <x:t xml:space="preserve">Selbstversorgung, Souveränität und Importabhängigkeit</x:t>
        </x:is>
      </x:c>
      <x:c r="D26" s="35">
        <x:v>127</x:v>
      </x:c>
      <x:c r="E26" s="35">
        <x:v>25247</x:v>
      </x:c>
      <x:c r="F26" s="36">
        <x:f>D26/E26</x:f>
        <x:v>0.005030300629777796</x:v>
      </x:c>
      <x:c r="G26" s="35">
        <x:v>1048</x:v>
      </x:c>
      <x:c r="H26" s="36">
        <x:f>D26/G26</x:f>
        <x:v>0.12118320610687022</x:v>
      </x:c>
      <x:c r="I26" s="1"/>
    </x:row>
    <x:row r="27" ht="44" customHeight="1">
      <x:c r="A27" s="69" t="inlineStr">
        <x:is>
          <x:t xml:space="preserve">S&amp;R</x:t>
        </x:is>
      </x:c>
      <x:c r="B27" s="69" t="n">
        <x:v>5</x:v>
      </x:c>
      <x:c r="C27" s="69" t="inlineStr">
        <x:is>
          <x:t xml:space="preserve">Resilienz, Krisenfestigkeit und Systemrelevanz</x:t>
        </x:is>
      </x:c>
      <x:c r="D27" s="70">
        <x:v>117</x:v>
      </x:c>
      <x:c r="E27" s="70">
        <x:v>25247</x:v>
      </x:c>
      <x:c r="F27" s="71">
        <x:f>D27/E27</x:f>
        <x:v>0.004634213966015765</x:v>
      </x:c>
      <x:c r="G27" s="70">
        <x:v>1048</x:v>
      </x:c>
      <x:c r="H27" s="71">
        <x:f>D27/G27</x:f>
        <x:v>0.11164122137404581</x:v>
      </x:c>
      <x:c r="I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6" customHeight="1">
      <x:c r="A29" s="10" t="inlineStr">
        <x:is>
          <x:t xml:space="preserve">Vollständige Jahreswerte</x:t>
        </x:is>
      </x:c>
      <x:c r="B29" s="1"/>
      <x:c r="C29" s="1"/>
      <x:c r="D29" s="1"/>
      <x:c r="E29" s="1"/>
      <x:c r="F29" s="1"/>
      <x:c r="G29" s="1"/>
      <x:c r="H29" s="1"/>
      <x:c r="I29" s="1"/>
    </x:row>
    <x:row r="30" ht="54" customHeight="1">
      <x:c r="A30" s="11" t="inlineStr">
        <x:is>
          <x:t xml:space="preserve">Dimension</x:t>
        </x:is>
      </x:c>
      <x:c r="B30" s="20" t="inlineStr">
        <x:is>
          <x:t xml:space="preserve">Kategorie</x:t>
        </x:is>
      </x:c>
      <x:c r="C30" s="20" t="inlineStr">
        <x:is>
          <x:t xml:space="preserve">Bezeichnung</x:t>
        </x:is>
      </x:c>
      <x:c r="D30" s="20" t="inlineStr">
        <x:is>
          <x:t xml:space="preserve">Jahr</x:t>
        </x:is>
      </x:c>
      <x:c r="E30" s="20" t="inlineStr">
        <x:is>
          <x:t xml:space="preserve">Sätze n</x:t>
        </x:is>
      </x:c>
      <x:c r="F30" s="20" t="inlineStr">
        <x:is>
          <x:t xml:space="preserve">A&amp;E n</x:t>
        </x:is>
      </x:c>
      <x:c r="G30" s="20" t="inlineStr">
        <x:is>
          <x:t xml:space="preserve">Anteil an A&amp;E</x:t>
        </x:is>
      </x:c>
      <x:c r="H30" s="20" t="inlineStr">
        <x:is>
          <x:t xml:space="preserve">Dimension n</x:t>
        </x:is>
      </x:c>
      <x:c r="I30" s="12" t="inlineStr">
        <x:is>
          <x:t xml:space="preserve">Anteil an Dimension</x:t>
        </x:is>
      </x:c>
    </x:row>
    <x:row r="31" ht="36" customHeight="1">
      <x:c r="A31" s="13" t="inlineStr">
        <x:is>
          <x:t xml:space="preserve">Ökologie</x:t>
        </x:is>
      </x:c>
      <x:c r="B31" s="13" t="n">
        <x:v>1</x:v>
      </x:c>
      <x:c r="C31" s="13" t="inlineStr">
        <x:is>
          <x:t xml:space="preserve">Pflanzenschutz, Artenvielfalt und Agrarlebensräume</x:t>
        </x:is>
      </x:c>
      <x:c r="D31" s="21" t="n">
        <x:v>2018</x:v>
      </x:c>
      <x:c r="E31" s="14">
        <x:v>266</x:v>
      </x:c>
      <x:c r="F31" s="14">
        <x:v>3254</x:v>
      </x:c>
      <x:c r="G31" s="22">
        <x:f>E31/F31</x:f>
        <x:v>0.08174554394591273</x:v>
      </x:c>
      <x:c r="H31" s="14">
        <x:v>993</x:v>
      </x:c>
      <x:c r="I31" s="22">
        <x:f>E31/H31</x:f>
        <x:v>0.2678751258811682</x:v>
      </x:c>
    </x:row>
    <x:row r="32" ht="36" customHeight="1">
      <x:c r="A32" s="15" t="inlineStr">
        <x:is>
          <x:t xml:space="preserve">Ökologie</x:t>
        </x:is>
      </x:c>
      <x:c r="B32" s="15" t="n">
        <x:v>1</x:v>
      </x:c>
      <x:c r="C32" s="15" t="inlineStr">
        <x:is>
          <x:t xml:space="preserve">Pflanzenschutz, Artenvielfalt und Agrarlebensräume</x:t>
        </x:is>
      </x:c>
      <x:c r="D32" s="24" t="n">
        <x:v>2019</x:v>
      </x:c>
      <x:c r="E32" s="16">
        <x:v>278</x:v>
      </x:c>
      <x:c r="F32" s="16">
        <x:v>2800</x:v>
      </x:c>
      <x:c r="G32" s="25">
        <x:f>E32/F32</x:f>
        <x:v>0.09928571428571428</x:v>
      </x:c>
      <x:c r="H32" s="16">
        <x:v>849</x:v>
      </x:c>
      <x:c r="I32" s="25">
        <x:f>E32/H32</x:f>
        <x:v>0.32744405182567726</x:v>
      </x:c>
    </x:row>
    <x:row r="33" ht="36" customHeight="1">
      <x:c r="A33" s="13" t="inlineStr">
        <x:is>
          <x:t xml:space="preserve">Ökologie</x:t>
        </x:is>
      </x:c>
      <x:c r="B33" s="13" t="n">
        <x:v>1</x:v>
      </x:c>
      <x:c r="C33" s="13" t="inlineStr">
        <x:is>
          <x:t xml:space="preserve">Pflanzenschutz, Artenvielfalt und Agrarlebensräume</x:t>
        </x:is>
      </x:c>
      <x:c r="D33" s="21" t="n">
        <x:v>2020</x:v>
      </x:c>
      <x:c r="E33" s="14">
        <x:v>106</x:v>
      </x:c>
      <x:c r="F33" s="14">
        <x:v>3133</x:v>
      </x:c>
      <x:c r="G33" s="22">
        <x:f>E33/F33</x:f>
        <x:v>0.033833386530481964</x:v>
      </x:c>
      <x:c r="H33" s="14">
        <x:v>734</x:v>
      </x:c>
      <x:c r="I33" s="22">
        <x:f>E33/H33</x:f>
        <x:v>0.1444141689373297</x:v>
      </x:c>
    </x:row>
    <x:row r="34" ht="36" customHeight="1">
      <x:c r="A34" s="15" t="inlineStr">
        <x:is>
          <x:t xml:space="preserve">Ökologie</x:t>
        </x:is>
      </x:c>
      <x:c r="B34" s="15" t="n">
        <x:v>1</x:v>
      </x:c>
      <x:c r="C34" s="15" t="inlineStr">
        <x:is>
          <x:t xml:space="preserve">Pflanzenschutz, Artenvielfalt und Agrarlebensräume</x:t>
        </x:is>
      </x:c>
      <x:c r="D34" s="24" t="n">
        <x:v>2021</x:v>
      </x:c>
      <x:c r="E34" s="16">
        <x:v>394</x:v>
      </x:c>
      <x:c r="F34" s="16">
        <x:v>2320</x:v>
      </x:c>
      <x:c r="G34" s="25">
        <x:f>E34/F34</x:f>
        <x:v>0.16982758620689656</x:v>
      </x:c>
      <x:c r="H34" s="16">
        <x:v>801</x:v>
      </x:c>
      <x:c r="I34" s="25">
        <x:f>E34/H34</x:f>
        <x:v>0.4918851435705368</x:v>
      </x:c>
    </x:row>
    <x:row r="35" ht="36" customHeight="1">
      <x:c r="A35" s="13" t="inlineStr">
        <x:is>
          <x:t xml:space="preserve">Ökologie</x:t>
        </x:is>
      </x:c>
      <x:c r="B35" s="13" t="n">
        <x:v>1</x:v>
      </x:c>
      <x:c r="C35" s="13" t="inlineStr">
        <x:is>
          <x:t xml:space="preserve">Pflanzenschutz, Artenvielfalt und Agrarlebensräume</x:t>
        </x:is>
      </x:c>
      <x:c r="D35" s="21" t="n">
        <x:v>2022</x:v>
      </x:c>
      <x:c r="E35" s="14">
        <x:v>220</x:v>
      </x:c>
      <x:c r="F35" s="14">
        <x:v>4018</x:v>
      </x:c>
      <x:c r="G35" s="22">
        <x:f>E35/F35</x:f>
        <x:v>0.0547536087605774</x:v>
      </x:c>
      <x:c r="H35" s="14">
        <x:v>931</x:v>
      </x:c>
      <x:c r="I35" s="22">
        <x:f>E35/H35</x:f>
        <x:v>0.23630504833512353</x:v>
      </x:c>
    </x:row>
    <x:row r="36" ht="36" customHeight="1">
      <x:c r="A36" s="15" t="inlineStr">
        <x:is>
          <x:t xml:space="preserve">Ökologie</x:t>
        </x:is>
      </x:c>
      <x:c r="B36" s="15" t="n">
        <x:v>1</x:v>
      </x:c>
      <x:c r="C36" s="15" t="inlineStr">
        <x:is>
          <x:t xml:space="preserve">Pflanzenschutz, Artenvielfalt und Agrarlebensräume</x:t>
        </x:is>
      </x:c>
      <x:c r="D36" s="24" t="n">
        <x:v>2023</x:v>
      </x:c>
      <x:c r="E36" s="16">
        <x:v>249</x:v>
      </x:c>
      <x:c r="F36" s="16">
        <x:v>3417</x:v>
      </x:c>
      <x:c r="G36" s="25">
        <x:f>E36/F36</x:f>
        <x:v>0.07287093942054433</x:v>
      </x:c>
      <x:c r="H36" s="16">
        <x:v>924</x:v>
      </x:c>
      <x:c r="I36" s="25">
        <x:f>E36/H36</x:f>
        <x:v>0.2694805194805195</x:v>
      </x:c>
    </x:row>
    <x:row r="37" ht="36" customHeight="1">
      <x:c r="A37" s="13" t="inlineStr">
        <x:is>
          <x:t xml:space="preserve">Ökologie</x:t>
        </x:is>
      </x:c>
      <x:c r="B37" s="13" t="n">
        <x:v>1</x:v>
      </x:c>
      <x:c r="C37" s="13" t="inlineStr">
        <x:is>
          <x:t xml:space="preserve">Pflanzenschutz, Artenvielfalt und Agrarlebensräume</x:t>
        </x:is>
      </x:c>
      <x:c r="D37" s="21" t="n">
        <x:v>2024</x:v>
      </x:c>
      <x:c r="E37" s="14">
        <x:v>138</x:v>
      </x:c>
      <x:c r="F37" s="14">
        <x:v>4026</x:v>
      </x:c>
      <x:c r="G37" s="22">
        <x:f>E37/F37</x:f>
        <x:v>0.03427719821162444</x:v>
      </x:c>
      <x:c r="H37" s="14">
        <x:v>707</x:v>
      </x:c>
      <x:c r="I37" s="22">
        <x:f>E37/H37</x:f>
        <x:v>0.19519094766619519</x:v>
      </x:c>
    </x:row>
    <x:row r="38" ht="36" customHeight="1">
      <x:c r="A38" s="15" t="inlineStr">
        <x:is>
          <x:t xml:space="preserve">Ökologie</x:t>
        </x:is>
      </x:c>
      <x:c r="B38" s="15" t="n">
        <x:v>1</x:v>
      </x:c>
      <x:c r="C38" s="15" t="inlineStr">
        <x:is>
          <x:t xml:space="preserve">Pflanzenschutz, Artenvielfalt und Agrarlebensräume</x:t>
        </x:is>
      </x:c>
      <x:c r="D38" s="24" t="n">
        <x:v>2025</x:v>
      </x:c>
      <x:c r="E38" s="16">
        <x:v>70</x:v>
      </x:c>
      <x:c r="F38" s="16">
        <x:v>2279</x:v>
      </x:c>
      <x:c r="G38" s="25">
        <x:f>E38/F38</x:f>
        <x:v>0.030715225976305396</x:v>
      </x:c>
      <x:c r="H38" s="16">
        <x:v>542</x:v>
      </x:c>
      <x:c r="I38" s="25">
        <x:f>E38/H38</x:f>
        <x:v>0.12915129151291513</x:v>
      </x:c>
    </x:row>
    <x:row r="39" ht="36" customHeight="1">
      <x:c r="A39" s="13" t="inlineStr">
        <x:is>
          <x:t xml:space="preserve">Ökologie</x:t>
        </x:is>
      </x:c>
      <x:c r="B39" s="13" t="n">
        <x:v>2</x:v>
      </x:c>
      <x:c r="C39" s="13" t="inlineStr">
        <x:is>
          <x:t xml:space="preserve">Tierwohl, Tiergesundheit und Haltung</x:t>
        </x:is>
      </x:c>
      <x:c r="D39" s="21" t="n">
        <x:v>2018</x:v>
      </x:c>
      <x:c r="E39" s="14">
        <x:v>352</x:v>
      </x:c>
      <x:c r="F39" s="14">
        <x:v>3254</x:v>
      </x:c>
      <x:c r="G39" s="22">
        <x:f>E39/F39</x:f>
        <x:v>0.10817455439459127</x:v>
      </x:c>
      <x:c r="H39" s="14">
        <x:v>993</x:v>
      </x:c>
      <x:c r="I39" s="22">
        <x:f>E39/H39</x:f>
        <x:v>0.3544813695871098</x:v>
      </x:c>
    </x:row>
    <x:row r="40" ht="36" customHeight="1">
      <x:c r="A40" s="15" t="inlineStr">
        <x:is>
          <x:t xml:space="preserve">Ökologie</x:t>
        </x:is>
      </x:c>
      <x:c r="B40" s="15" t="n">
        <x:v>2</x:v>
      </x:c>
      <x:c r="C40" s="15" t="inlineStr">
        <x:is>
          <x:t xml:space="preserve">Tierwohl, Tiergesundheit und Haltung</x:t>
        </x:is>
      </x:c>
      <x:c r="D40" s="24" t="n">
        <x:v>2019</x:v>
      </x:c>
      <x:c r="E40" s="16">
        <x:v>150</x:v>
      </x:c>
      <x:c r="F40" s="16">
        <x:v>2800</x:v>
      </x:c>
      <x:c r="G40" s="25">
        <x:f>E40/F40</x:f>
        <x:v>0.05357142857142857</x:v>
      </x:c>
      <x:c r="H40" s="16">
        <x:v>849</x:v>
      </x:c>
      <x:c r="I40" s="25">
        <x:f>E40/H40</x:f>
        <x:v>0.17667844522968199</x:v>
      </x:c>
    </x:row>
    <x:row r="41" ht="36" customHeight="1">
      <x:c r="A41" s="13" t="inlineStr">
        <x:is>
          <x:t xml:space="preserve">Ökologie</x:t>
        </x:is>
      </x:c>
      <x:c r="B41" s="13" t="n">
        <x:v>2</x:v>
      </x:c>
      <x:c r="C41" s="13" t="inlineStr">
        <x:is>
          <x:t xml:space="preserve">Tierwohl, Tiergesundheit und Haltung</x:t>
        </x:is>
      </x:c>
      <x:c r="D41" s="21" t="n">
        <x:v>2020</x:v>
      </x:c>
      <x:c r="E41" s="14">
        <x:v>173</x:v>
      </x:c>
      <x:c r="F41" s="14">
        <x:v>3133</x:v>
      </x:c>
      <x:c r="G41" s="22">
        <x:f>E41/F41</x:f>
        <x:v>0.05521864028088094</x:v>
      </x:c>
      <x:c r="H41" s="14">
        <x:v>734</x:v>
      </x:c>
      <x:c r="I41" s="22">
        <x:f>E41/H41</x:f>
        <x:v>0.2356948228882834</x:v>
      </x:c>
    </x:row>
    <x:row r="42" ht="36" customHeight="1">
      <x:c r="A42" s="15" t="inlineStr">
        <x:is>
          <x:t xml:space="preserve">Ökologie</x:t>
        </x:is>
      </x:c>
      <x:c r="B42" s="15" t="n">
        <x:v>2</x:v>
      </x:c>
      <x:c r="C42" s="15" t="inlineStr">
        <x:is>
          <x:t xml:space="preserve">Tierwohl, Tiergesundheit und Haltung</x:t>
        </x:is>
      </x:c>
      <x:c r="D42" s="24" t="n">
        <x:v>2021</x:v>
      </x:c>
      <x:c r="E42" s="16">
        <x:v>83</x:v>
      </x:c>
      <x:c r="F42" s="16">
        <x:v>2320</x:v>
      </x:c>
      <x:c r="G42" s="25">
        <x:f>E42/F42</x:f>
        <x:v>0.03577586206896552</x:v>
      </x:c>
      <x:c r="H42" s="16">
        <x:v>801</x:v>
      </x:c>
      <x:c r="I42" s="25">
        <x:f>E42/H42</x:f>
        <x:v>0.10362047440699126</x:v>
      </x:c>
    </x:row>
    <x:row r="43" ht="36" customHeight="1">
      <x:c r="A43" s="13" t="inlineStr">
        <x:is>
          <x:t xml:space="preserve">Ökologie</x:t>
        </x:is>
      </x:c>
      <x:c r="B43" s="13" t="n">
        <x:v>2</x:v>
      </x:c>
      <x:c r="C43" s="13" t="inlineStr">
        <x:is>
          <x:t xml:space="preserve">Tierwohl, Tiergesundheit und Haltung</x:t>
        </x:is>
      </x:c>
      <x:c r="D43" s="21" t="n">
        <x:v>2022</x:v>
      </x:c>
      <x:c r="E43" s="14">
        <x:v>263</x:v>
      </x:c>
      <x:c r="F43" s="14">
        <x:v>4018</x:v>
      </x:c>
      <x:c r="G43" s="22">
        <x:f>E43/F43</x:f>
        <x:v>0.06545545047287207</x:v>
      </x:c>
      <x:c r="H43" s="14">
        <x:v>931</x:v>
      </x:c>
      <x:c r="I43" s="22">
        <x:f>E43/H43</x:f>
        <x:v>0.2824919441460795</x:v>
      </x:c>
    </x:row>
    <x:row r="44" ht="36" customHeight="1">
      <x:c r="A44" s="15" t="inlineStr">
        <x:is>
          <x:t xml:space="preserve">Ökologie</x:t>
        </x:is>
      </x:c>
      <x:c r="B44" s="15" t="n">
        <x:v>2</x:v>
      </x:c>
      <x:c r="C44" s="15" t="inlineStr">
        <x:is>
          <x:t xml:space="preserve">Tierwohl, Tiergesundheit und Haltung</x:t>
        </x:is>
      </x:c>
      <x:c r="D44" s="24" t="n">
        <x:v>2023</x:v>
      </x:c>
      <x:c r="E44" s="16">
        <x:v>197</x:v>
      </x:c>
      <x:c r="F44" s="16">
        <x:v>3417</x:v>
      </x:c>
      <x:c r="G44" s="25">
        <x:f>E44/F44</x:f>
        <x:v>0.05765291191103307</x:v>
      </x:c>
      <x:c r="H44" s="16">
        <x:v>924</x:v>
      </x:c>
      <x:c r="I44" s="25">
        <x:f>E44/H44</x:f>
        <x:v>0.2132034632034632</x:v>
      </x:c>
    </x:row>
    <x:row r="45" ht="36" customHeight="1">
      <x:c r="A45" s="13" t="inlineStr">
        <x:is>
          <x:t xml:space="preserve">Ökologie</x:t>
        </x:is>
      </x:c>
      <x:c r="B45" s="13" t="n">
        <x:v>2</x:v>
      </x:c>
      <x:c r="C45" s="13" t="inlineStr">
        <x:is>
          <x:t xml:space="preserve">Tierwohl, Tiergesundheit und Haltung</x:t>
        </x:is>
      </x:c>
      <x:c r="D45" s="21" t="n">
        <x:v>2024</x:v>
      </x:c>
      <x:c r="E45" s="14">
        <x:v>177</x:v>
      </x:c>
      <x:c r="F45" s="14">
        <x:v>4026</x:v>
      </x:c>
      <x:c r="G45" s="22">
        <x:f>E45/F45</x:f>
        <x:v>0.043964232488822655</x:v>
      </x:c>
      <x:c r="H45" s="14">
        <x:v>707</x:v>
      </x:c>
      <x:c r="I45" s="22">
        <x:f>E45/H45</x:f>
        <x:v>0.25035360678925034</x:v>
      </x:c>
    </x:row>
    <x:row r="46" ht="36" customHeight="1">
      <x:c r="A46" s="15" t="inlineStr">
        <x:is>
          <x:t xml:space="preserve">Ökologie</x:t>
        </x:is>
      </x:c>
      <x:c r="B46" s="15" t="n">
        <x:v>2</x:v>
      </x:c>
      <x:c r="C46" s="15" t="inlineStr">
        <x:is>
          <x:t xml:space="preserve">Tierwohl, Tiergesundheit und Haltung</x:t>
        </x:is>
      </x:c>
      <x:c r="D46" s="24" t="n">
        <x:v>2025</x:v>
      </x:c>
      <x:c r="E46" s="16">
        <x:v>191</x:v>
      </x:c>
      <x:c r="F46" s="16">
        <x:v>2279</x:v>
      </x:c>
      <x:c r="G46" s="25">
        <x:f>E46/F46</x:f>
        <x:v>0.08380868802106187</x:v>
      </x:c>
      <x:c r="H46" s="16">
        <x:v>542</x:v>
      </x:c>
      <x:c r="I46" s="25">
        <x:f>E46/H46</x:f>
        <x:v>0.35239852398523985</x:v>
      </x:c>
    </x:row>
    <x:row r="47" ht="36" customHeight="1">
      <x:c r="A47" s="13" t="inlineStr">
        <x:is>
          <x:t xml:space="preserve">Ökologie</x:t>
        </x:is>
      </x:c>
      <x:c r="B47" s="13" t="n">
        <x:v>3</x:v>
      </x:c>
      <x:c r="C47" s="13" t="inlineStr">
        <x:is>
          <x:t xml:space="preserve">Düngung, Boden und Gewässer</x:t>
        </x:is>
      </x:c>
      <x:c r="D47" s="21" t="n">
        <x:v>2018</x:v>
      </x:c>
      <x:c r="E47" s="14">
        <x:v>131</x:v>
      </x:c>
      <x:c r="F47" s="14">
        <x:v>3254</x:v>
      </x:c>
      <x:c r="G47" s="22">
        <x:f>E47/F47</x:f>
        <x:v>0.04025814382298709</x:v>
      </x:c>
      <x:c r="H47" s="14">
        <x:v>993</x:v>
      </x:c>
      <x:c r="I47" s="22">
        <x:f>E47/H47</x:f>
        <x:v>0.13192346424974824</x:v>
      </x:c>
    </x:row>
    <x:row r="48" ht="36" customHeight="1">
      <x:c r="A48" s="15" t="inlineStr">
        <x:is>
          <x:t xml:space="preserve">Ökologie</x:t>
        </x:is>
      </x:c>
      <x:c r="B48" s="15" t="n">
        <x:v>3</x:v>
      </x:c>
      <x:c r="C48" s="15" t="inlineStr">
        <x:is>
          <x:t xml:space="preserve">Düngung, Boden und Gewässer</x:t>
        </x:is>
      </x:c>
      <x:c r="D48" s="24" t="n">
        <x:v>2019</x:v>
      </x:c>
      <x:c r="E48" s="16">
        <x:v>117</x:v>
      </x:c>
      <x:c r="F48" s="16">
        <x:v>2800</x:v>
      </x:c>
      <x:c r="G48" s="25">
        <x:f>E48/F48</x:f>
        <x:v>0.04178571428571429</x:v>
      </x:c>
      <x:c r="H48" s="16">
        <x:v>849</x:v>
      </x:c>
      <x:c r="I48" s="25">
        <x:f>E48/H48</x:f>
        <x:v>0.13780918727915195</x:v>
      </x:c>
    </x:row>
    <x:row r="49" ht="36" customHeight="1">
      <x:c r="A49" s="13" t="inlineStr">
        <x:is>
          <x:t xml:space="preserve">Ökologie</x:t>
        </x:is>
      </x:c>
      <x:c r="B49" s="13" t="n">
        <x:v>3</x:v>
      </x:c>
      <x:c r="C49" s="13" t="inlineStr">
        <x:is>
          <x:t xml:space="preserve">Düngung, Boden und Gewässer</x:t>
        </x:is>
      </x:c>
      <x:c r="D49" s="21" t="n">
        <x:v>2020</x:v>
      </x:c>
      <x:c r="E49" s="14">
        <x:v>208</x:v>
      </x:c>
      <x:c r="F49" s="14">
        <x:v>3133</x:v>
      </x:c>
      <x:c r="G49" s="22">
        <x:f>E49/F49</x:f>
        <x:v>0.06639004149377593</x:v>
      </x:c>
      <x:c r="H49" s="14">
        <x:v>734</x:v>
      </x:c>
      <x:c r="I49" s="22">
        <x:f>E49/H49</x:f>
        <x:v>0.28337874659400547</x:v>
      </x:c>
    </x:row>
    <x:row r="50" ht="36" customHeight="1">
      <x:c r="A50" s="15" t="inlineStr">
        <x:is>
          <x:t xml:space="preserve">Ökologie</x:t>
        </x:is>
      </x:c>
      <x:c r="B50" s="15" t="n">
        <x:v>3</x:v>
      </x:c>
      <x:c r="C50" s="15" t="inlineStr">
        <x:is>
          <x:t xml:space="preserve">Düngung, Boden und Gewässer</x:t>
        </x:is>
      </x:c>
      <x:c r="D50" s="24" t="n">
        <x:v>2021</x:v>
      </x:c>
      <x:c r="E50" s="16">
        <x:v>24</x:v>
      </x:c>
      <x:c r="F50" s="16">
        <x:v>2320</x:v>
      </x:c>
      <x:c r="G50" s="25">
        <x:f>E50/F50</x:f>
        <x:v>0.010344827586206896</x:v>
      </x:c>
      <x:c r="H50" s="16">
        <x:v>801</x:v>
      </x:c>
      <x:c r="I50" s="25">
        <x:f>E50/H50</x:f>
        <x:v>0.0299625468164794</x:v>
      </x:c>
    </x:row>
    <x:row r="51" ht="36" customHeight="1">
      <x:c r="A51" s="13" t="inlineStr">
        <x:is>
          <x:t xml:space="preserve">Ökologie</x:t>
        </x:is>
      </x:c>
      <x:c r="B51" s="13" t="n">
        <x:v>3</x:v>
      </x:c>
      <x:c r="C51" s="13" t="inlineStr">
        <x:is>
          <x:t xml:space="preserve">Düngung, Boden und Gewässer</x:t>
        </x:is>
      </x:c>
      <x:c r="D51" s="21" t="n">
        <x:v>2022</x:v>
      </x:c>
      <x:c r="E51" s="14">
        <x:v>39</x:v>
      </x:c>
      <x:c r="F51" s="14">
        <x:v>4018</x:v>
      </x:c>
      <x:c r="G51" s="22">
        <x:f>E51/F51</x:f>
        <x:v>0.009706321553011448</x:v>
      </x:c>
      <x:c r="H51" s="14">
        <x:v>931</x:v>
      </x:c>
      <x:c r="I51" s="22">
        <x:f>E51/H51</x:f>
        <x:v>0.04189044038668099</x:v>
      </x:c>
    </x:row>
    <x:row r="52" ht="36" customHeight="1">
      <x:c r="A52" s="15" t="inlineStr">
        <x:is>
          <x:t xml:space="preserve">Ökologie</x:t>
        </x:is>
      </x:c>
      <x:c r="B52" s="15" t="n">
        <x:v>3</x:v>
      </x:c>
      <x:c r="C52" s="15" t="inlineStr">
        <x:is>
          <x:t xml:space="preserve">Düngung, Boden und Gewässer</x:t>
        </x:is>
      </x:c>
      <x:c r="D52" s="24" t="n">
        <x:v>2023</x:v>
      </x:c>
      <x:c r="E52" s="16">
        <x:v>60</x:v>
      </x:c>
      <x:c r="F52" s="16">
        <x:v>3417</x:v>
      </x:c>
      <x:c r="G52" s="25">
        <x:f>E52/F52</x:f>
        <x:v>0.01755926251097454</x:v>
      </x:c>
      <x:c r="H52" s="16">
        <x:v>924</x:v>
      </x:c>
      <x:c r="I52" s="25">
        <x:f>E52/H52</x:f>
        <x:v>0.06493506493506493</x:v>
      </x:c>
    </x:row>
    <x:row r="53" ht="36" customHeight="1">
      <x:c r="A53" s="13" t="inlineStr">
        <x:is>
          <x:t xml:space="preserve">Ökologie</x:t>
        </x:is>
      </x:c>
      <x:c r="B53" s="13" t="n">
        <x:v>3</x:v>
      </x:c>
      <x:c r="C53" s="13" t="inlineStr">
        <x:is>
          <x:t xml:space="preserve">Düngung, Boden und Gewässer</x:t>
        </x:is>
      </x:c>
      <x:c r="D53" s="21" t="n">
        <x:v>2024</x:v>
      </x:c>
      <x:c r="E53" s="14">
        <x:v>86</x:v>
      </x:c>
      <x:c r="F53" s="14">
        <x:v>4026</x:v>
      </x:c>
      <x:c r="G53" s="22">
        <x:f>E53/F53</x:f>
        <x:v>0.02136115250869349</x:v>
      </x:c>
      <x:c r="H53" s="14">
        <x:v>707</x:v>
      </x:c>
      <x:c r="I53" s="22">
        <x:f>E53/H53</x:f>
        <x:v>0.12164073550212164</x:v>
      </x:c>
    </x:row>
    <x:row r="54" ht="36" customHeight="1">
      <x:c r="A54" s="15" t="inlineStr">
        <x:is>
          <x:t xml:space="preserve">Ökologie</x:t>
        </x:is>
      </x:c>
      <x:c r="B54" s="15" t="n">
        <x:v>3</x:v>
      </x:c>
      <x:c r="C54" s="15" t="inlineStr">
        <x:is>
          <x:t xml:space="preserve">Düngung, Boden und Gewässer</x:t>
        </x:is>
      </x:c>
      <x:c r="D54" s="24" t="n">
        <x:v>2025</x:v>
      </x:c>
      <x:c r="E54" s="16">
        <x:v>50</x:v>
      </x:c>
      <x:c r="F54" s="16">
        <x:v>2279</x:v>
      </x:c>
      <x:c r="G54" s="25">
        <x:f>E54/F54</x:f>
        <x:v>0.021939447125932425</x:v>
      </x:c>
      <x:c r="H54" s="16">
        <x:v>542</x:v>
      </x:c>
      <x:c r="I54" s="25">
        <x:f>E54/H54</x:f>
        <x:v>0.09225092250922509</x:v>
      </x:c>
    </x:row>
    <x:row r="55" ht="36" customHeight="1">
      <x:c r="A55" s="13" t="inlineStr">
        <x:is>
          <x:t xml:space="preserve">Ökologie</x:t>
        </x:is>
      </x:c>
      <x:c r="B55" s="13" t="n">
        <x:v>4</x:v>
      </x:c>
      <x:c r="C55" s="13" t="inlineStr">
        <x:is>
          <x:t xml:space="preserve">Klima, Emissionen und erneuerbare Energien</x:t>
        </x:is>
      </x:c>
      <x:c r="D55" s="21" t="n">
        <x:v>2018</x:v>
      </x:c>
      <x:c r="E55" s="14">
        <x:v>101</x:v>
      </x:c>
      <x:c r="F55" s="14">
        <x:v>3254</x:v>
      </x:c>
      <x:c r="G55" s="22">
        <x:f>E55/F55</x:f>
        <x:v>0.031038721573448065</x:v>
      </x:c>
      <x:c r="H55" s="14">
        <x:v>993</x:v>
      </x:c>
      <x:c r="I55" s="22">
        <x:f>E55/H55</x:f>
        <x:v>0.10171198388721048</x:v>
      </x:c>
    </x:row>
    <x:row r="56" ht="36" customHeight="1">
      <x:c r="A56" s="15" t="inlineStr">
        <x:is>
          <x:t xml:space="preserve">Ökologie</x:t>
        </x:is>
      </x:c>
      <x:c r="B56" s="15" t="n">
        <x:v>4</x:v>
      </x:c>
      <x:c r="C56" s="15" t="inlineStr">
        <x:is>
          <x:t xml:space="preserve">Klima, Emissionen und erneuerbare Energien</x:t>
        </x:is>
      </x:c>
      <x:c r="D56" s="24" t="n">
        <x:v>2019</x:v>
      </x:c>
      <x:c r="E56" s="16">
        <x:v>115</x:v>
      </x:c>
      <x:c r="F56" s="16">
        <x:v>2800</x:v>
      </x:c>
      <x:c r="G56" s="25">
        <x:f>E56/F56</x:f>
        <x:v>0.04107142857142857</x:v>
      </x:c>
      <x:c r="H56" s="16">
        <x:v>849</x:v>
      </x:c>
      <x:c r="I56" s="25">
        <x:f>E56/H56</x:f>
        <x:v>0.1354534746760895</x:v>
      </x:c>
    </x:row>
    <x:row r="57" ht="36" customHeight="1">
      <x:c r="A57" s="13" t="inlineStr">
        <x:is>
          <x:t xml:space="preserve">Ökologie</x:t>
        </x:is>
      </x:c>
      <x:c r="B57" s="13" t="n">
        <x:v>4</x:v>
      </x:c>
      <x:c r="C57" s="13" t="inlineStr">
        <x:is>
          <x:t xml:space="preserve">Klima, Emissionen und erneuerbare Energien</x:t>
        </x:is>
      </x:c>
      <x:c r="D57" s="21" t="n">
        <x:v>2020</x:v>
      </x:c>
      <x:c r="E57" s="14">
        <x:v>150</x:v>
      </x:c>
      <x:c r="F57" s="14">
        <x:v>3133</x:v>
      </x:c>
      <x:c r="G57" s="22">
        <x:f>E57/F57</x:f>
        <x:v>0.047877433769549956</x:v>
      </x:c>
      <x:c r="H57" s="14">
        <x:v>734</x:v>
      </x:c>
      <x:c r="I57" s="22">
        <x:f>E57/H57</x:f>
        <x:v>0.20435967302452315</x:v>
      </x:c>
    </x:row>
    <x:row r="58" ht="36" customHeight="1">
      <x:c r="A58" s="15" t="inlineStr">
        <x:is>
          <x:t xml:space="preserve">Ökologie</x:t>
        </x:is>
      </x:c>
      <x:c r="B58" s="15" t="n">
        <x:v>4</x:v>
      </x:c>
      <x:c r="C58" s="15" t="inlineStr">
        <x:is>
          <x:t xml:space="preserve">Klima, Emissionen und erneuerbare Energien</x:t>
        </x:is>
      </x:c>
      <x:c r="D58" s="24" t="n">
        <x:v>2021</x:v>
      </x:c>
      <x:c r="E58" s="16">
        <x:v>84</x:v>
      </x:c>
      <x:c r="F58" s="16">
        <x:v>2320</x:v>
      </x:c>
      <x:c r="G58" s="25">
        <x:f>E58/F58</x:f>
        <x:v>0.03620689655172414</x:v>
      </x:c>
      <x:c r="H58" s="16">
        <x:v>801</x:v>
      </x:c>
      <x:c r="I58" s="25">
        <x:f>E58/H58</x:f>
        <x:v>0.10486891385767791</x:v>
      </x:c>
    </x:row>
    <x:row r="59" ht="36" customHeight="1">
      <x:c r="A59" s="13" t="inlineStr">
        <x:is>
          <x:t xml:space="preserve">Ökologie</x:t>
        </x:is>
      </x:c>
      <x:c r="B59" s="13" t="n">
        <x:v>4</x:v>
      </x:c>
      <x:c r="C59" s="13" t="inlineStr">
        <x:is>
          <x:t xml:space="preserve">Klima, Emissionen und erneuerbare Energien</x:t>
        </x:is>
      </x:c>
      <x:c r="D59" s="21" t="n">
        <x:v>2022</x:v>
      </x:c>
      <x:c r="E59" s="14">
        <x:v>243</x:v>
      </x:c>
      <x:c r="F59" s="14">
        <x:v>4018</x:v>
      </x:c>
      <x:c r="G59" s="22">
        <x:f>E59/F59</x:f>
        <x:v>0.06047784967645595</x:v>
      </x:c>
      <x:c r="H59" s="14">
        <x:v>931</x:v>
      </x:c>
      <x:c r="I59" s="22">
        <x:f>E59/H59</x:f>
        <x:v>0.26100966702470463</x:v>
      </x:c>
    </x:row>
    <x:row r="60" ht="36" customHeight="1">
      <x:c r="A60" s="15" t="inlineStr">
        <x:is>
          <x:t xml:space="preserve">Ökologie</x:t>
        </x:is>
      </x:c>
      <x:c r="B60" s="15" t="n">
        <x:v>4</x:v>
      </x:c>
      <x:c r="C60" s="15" t="inlineStr">
        <x:is>
          <x:t xml:space="preserve">Klima, Emissionen und erneuerbare Energien</x:t>
        </x:is>
      </x:c>
      <x:c r="D60" s="24" t="n">
        <x:v>2023</x:v>
      </x:c>
      <x:c r="E60" s="16">
        <x:v>197</x:v>
      </x:c>
      <x:c r="F60" s="16">
        <x:v>3417</x:v>
      </x:c>
      <x:c r="G60" s="25">
        <x:f>E60/F60</x:f>
        <x:v>0.05765291191103307</x:v>
      </x:c>
      <x:c r="H60" s="16">
        <x:v>924</x:v>
      </x:c>
      <x:c r="I60" s="25">
        <x:f>E60/H60</x:f>
        <x:v>0.2132034632034632</x:v>
      </x:c>
    </x:row>
    <x:row r="61" ht="36" customHeight="1">
      <x:c r="A61" s="13" t="inlineStr">
        <x:is>
          <x:t xml:space="preserve">Ökologie</x:t>
        </x:is>
      </x:c>
      <x:c r="B61" s="13" t="n">
        <x:v>4</x:v>
      </x:c>
      <x:c r="C61" s="13" t="inlineStr">
        <x:is>
          <x:t xml:space="preserve">Klima, Emissionen und erneuerbare Energien</x:t>
        </x:is>
      </x:c>
      <x:c r="D61" s="21" t="n">
        <x:v>2024</x:v>
      </x:c>
      <x:c r="E61" s="14">
        <x:v>151</x:v>
      </x:c>
      <x:c r="F61" s="14">
        <x:v>4026</x:v>
      </x:c>
      <x:c r="G61" s="22">
        <x:f>E61/F61</x:f>
        <x:v>0.03750620963735718</x:v>
      </x:c>
      <x:c r="H61" s="14">
        <x:v>707</x:v>
      </x:c>
      <x:c r="I61" s="22">
        <x:f>E61/H61</x:f>
        <x:v>0.21357850070721357</x:v>
      </x:c>
    </x:row>
    <x:row r="62" ht="36" customHeight="1">
      <x:c r="A62" s="15" t="inlineStr">
        <x:is>
          <x:t xml:space="preserve">Ökologie</x:t>
        </x:is>
      </x:c>
      <x:c r="B62" s="15" t="n">
        <x:v>4</x:v>
      </x:c>
      <x:c r="C62" s="15" t="inlineStr">
        <x:is>
          <x:t xml:space="preserve">Klima, Emissionen und erneuerbare Energien</x:t>
        </x:is>
      </x:c>
      <x:c r="D62" s="24" t="n">
        <x:v>2025</x:v>
      </x:c>
      <x:c r="E62" s="16">
        <x:v>136</x:v>
      </x:c>
      <x:c r="F62" s="16">
        <x:v>2279</x:v>
      </x:c>
      <x:c r="G62" s="25">
        <x:f>E62/F62</x:f>
        <x:v>0.0596752961825362</x:v>
      </x:c>
      <x:c r="H62" s="16">
        <x:v>542</x:v>
      </x:c>
      <x:c r="I62" s="25">
        <x:f>E62/H62</x:f>
        <x:v>0.25092250922509224</x:v>
      </x:c>
    </x:row>
    <x:row r="63" ht="36" customHeight="1">
      <x:c r="A63" s="13" t="inlineStr">
        <x:is>
          <x:t xml:space="preserve">Ökologie</x:t>
        </x:is>
      </x:c>
      <x:c r="B63" s="13" t="n">
        <x:v>5</x:v>
      </x:c>
      <x:c r="C63" s="13" t="inlineStr">
        <x:is>
          <x:t xml:space="preserve">Ökolandbau, Anbauweisen und Agrarumweltinstrumente</x:t>
        </x:is>
      </x:c>
      <x:c r="D63" s="21" t="n">
        <x:v>2018</x:v>
      </x:c>
      <x:c r="E63" s="14">
        <x:v>57</x:v>
      </x:c>
      <x:c r="F63" s="14">
        <x:v>3254</x:v>
      </x:c>
      <x:c r="G63" s="22">
        <x:f>E63/F63</x:f>
        <x:v>0.017516902274124155</x:v>
      </x:c>
      <x:c r="H63" s="14">
        <x:v>993</x:v>
      </x:c>
      <x:c r="I63" s="22">
        <x:f>E63/H63</x:f>
        <x:v>0.05740181268882175</x:v>
      </x:c>
    </x:row>
    <x:row r="64" ht="36" customHeight="1">
      <x:c r="A64" s="15" t="inlineStr">
        <x:is>
          <x:t xml:space="preserve">Ökologie</x:t>
        </x:is>
      </x:c>
      <x:c r="B64" s="15" t="n">
        <x:v>5</x:v>
      </x:c>
      <x:c r="C64" s="15" t="inlineStr">
        <x:is>
          <x:t xml:space="preserve">Ökolandbau, Anbauweisen und Agrarumweltinstrumente</x:t>
        </x:is>
      </x:c>
      <x:c r="D64" s="24" t="n">
        <x:v>2019</x:v>
      </x:c>
      <x:c r="E64" s="16">
        <x:v>127</x:v>
      </x:c>
      <x:c r="F64" s="16">
        <x:v>2800</x:v>
      </x:c>
      <x:c r="G64" s="25">
        <x:f>E64/F64</x:f>
        <x:v>0.04535714285714286</x:v>
      </x:c>
      <x:c r="H64" s="16">
        <x:v>849</x:v>
      </x:c>
      <x:c r="I64" s="25">
        <x:f>E64/H64</x:f>
        <x:v>0.14958775029446408</x:v>
      </x:c>
    </x:row>
    <x:row r="65" ht="36" customHeight="1">
      <x:c r="A65" s="13" t="inlineStr">
        <x:is>
          <x:t xml:space="preserve">Ökologie</x:t>
        </x:is>
      </x:c>
      <x:c r="B65" s="13" t="n">
        <x:v>5</x:v>
      </x:c>
      <x:c r="C65" s="13" t="inlineStr">
        <x:is>
          <x:t xml:space="preserve">Ökolandbau, Anbauweisen und Agrarumweltinstrumente</x:t>
        </x:is>
      </x:c>
      <x:c r="D65" s="21" t="n">
        <x:v>2020</x:v>
      </x:c>
      <x:c r="E65" s="14">
        <x:v>66</x:v>
      </x:c>
      <x:c r="F65" s="14">
        <x:v>3133</x:v>
      </x:c>
      <x:c r="G65" s="22">
        <x:f>E65/F65</x:f>
        <x:v>0.02106607085860198</x:v>
      </x:c>
      <x:c r="H65" s="14">
        <x:v>734</x:v>
      </x:c>
      <x:c r="I65" s="22">
        <x:f>E65/H65</x:f>
        <x:v>0.08991825613079019</x:v>
      </x:c>
    </x:row>
    <x:row r="66" ht="36" customHeight="1">
      <x:c r="A66" s="15" t="inlineStr">
        <x:is>
          <x:t xml:space="preserve">Ökologie</x:t>
        </x:is>
      </x:c>
      <x:c r="B66" s="15" t="n">
        <x:v>5</x:v>
      </x:c>
      <x:c r="C66" s="15" t="inlineStr">
        <x:is>
          <x:t xml:space="preserve">Ökolandbau, Anbauweisen und Agrarumweltinstrumente</x:t>
        </x:is>
      </x:c>
      <x:c r="D66" s="24" t="n">
        <x:v>2021</x:v>
      </x:c>
      <x:c r="E66" s="16">
        <x:v>145</x:v>
      </x:c>
      <x:c r="F66" s="16">
        <x:v>2320</x:v>
      </x:c>
      <x:c r="G66" s="25">
        <x:f>E66/F66</x:f>
        <x:v>0.0625</x:v>
      </x:c>
      <x:c r="H66" s="16">
        <x:v>801</x:v>
      </x:c>
      <x:c r="I66" s="25">
        <x:f>E66/H66</x:f>
        <x:v>0.18102372034956304</x:v>
      </x:c>
    </x:row>
    <x:row r="67" ht="36" customHeight="1">
      <x:c r="A67" s="13" t="inlineStr">
        <x:is>
          <x:t xml:space="preserve">Ökologie</x:t>
        </x:is>
      </x:c>
      <x:c r="B67" s="13" t="n">
        <x:v>5</x:v>
      </x:c>
      <x:c r="C67" s="13" t="inlineStr">
        <x:is>
          <x:t xml:space="preserve">Ökolandbau, Anbauweisen und Agrarumweltinstrumente</x:t>
        </x:is>
      </x:c>
      <x:c r="D67" s="21" t="n">
        <x:v>2022</x:v>
      </x:c>
      <x:c r="E67" s="14">
        <x:v>95</x:v>
      </x:c>
      <x:c r="F67" s="14">
        <x:v>4018</x:v>
      </x:c>
      <x:c r="G67" s="22">
        <x:f>E67/F67</x:f>
        <x:v>0.023643603782976606</x:v>
      </x:c>
      <x:c r="H67" s="14">
        <x:v>931</x:v>
      </x:c>
      <x:c r="I67" s="22">
        <x:f>E67/H67</x:f>
        <x:v>0.10204081632653061</x:v>
      </x:c>
    </x:row>
    <x:row r="68" ht="36" customHeight="1">
      <x:c r="A68" s="15" t="inlineStr">
        <x:is>
          <x:t xml:space="preserve">Ökologie</x:t>
        </x:is>
      </x:c>
      <x:c r="B68" s="15" t="n">
        <x:v>5</x:v>
      </x:c>
      <x:c r="C68" s="15" t="inlineStr">
        <x:is>
          <x:t xml:space="preserve">Ökolandbau, Anbauweisen und Agrarumweltinstrumente</x:t>
        </x:is>
      </x:c>
      <x:c r="D68" s="24" t="n">
        <x:v>2023</x:v>
      </x:c>
      <x:c r="E68" s="16">
        <x:v>122</x:v>
      </x:c>
      <x:c r="F68" s="16">
        <x:v>3417</x:v>
      </x:c>
      <x:c r="G68" s="25">
        <x:f>E68/F68</x:f>
        <x:v>0.0357038337723149</x:v>
      </x:c>
      <x:c r="H68" s="16">
        <x:v>924</x:v>
      </x:c>
      <x:c r="I68" s="25">
        <x:f>E68/H68</x:f>
        <x:v>0.13203463203463203</x:v>
      </x:c>
    </x:row>
    <x:row r="69" ht="36" customHeight="1">
      <x:c r="A69" s="13" t="inlineStr">
        <x:is>
          <x:t xml:space="preserve">Ökologie</x:t>
        </x:is>
      </x:c>
      <x:c r="B69" s="13" t="n">
        <x:v>5</x:v>
      </x:c>
      <x:c r="C69" s="13" t="inlineStr">
        <x:is>
          <x:t xml:space="preserve">Ökolandbau, Anbauweisen und Agrarumweltinstrumente</x:t>
        </x:is>
      </x:c>
      <x:c r="D69" s="21" t="n">
        <x:v>2024</x:v>
      </x:c>
      <x:c r="E69" s="14">
        <x:v>117</x:v>
      </x:c>
      <x:c r="F69" s="14">
        <x:v>4026</x:v>
      </x:c>
      <x:c r="G69" s="22">
        <x:f>E69/F69</x:f>
        <x:v>0.029061102831594635</x:v>
      </x:c>
      <x:c r="H69" s="14">
        <x:v>707</x:v>
      </x:c>
      <x:c r="I69" s="22">
        <x:f>E69/H69</x:f>
        <x:v>0.16548797736916548</x:v>
      </x:c>
    </x:row>
    <x:row r="70" ht="36" customHeight="1">
      <x:c r="A70" s="15" t="inlineStr">
        <x:is>
          <x:t xml:space="preserve">Ökologie</x:t>
        </x:is>
      </x:c>
      <x:c r="B70" s="15" t="n">
        <x:v>5</x:v>
      </x:c>
      <x:c r="C70" s="15" t="inlineStr">
        <x:is>
          <x:t xml:space="preserve">Ökolandbau, Anbauweisen und Agrarumweltinstrumente</x:t>
        </x:is>
      </x:c>
      <x:c r="D70" s="24" t="n">
        <x:v>2025</x:v>
      </x:c>
      <x:c r="E70" s="16">
        <x:v>60</x:v>
      </x:c>
      <x:c r="F70" s="16">
        <x:v>2279</x:v>
      </x:c>
      <x:c r="G70" s="25">
        <x:f>E70/F70</x:f>
        <x:v>0.02632733655111891</x:v>
      </x:c>
      <x:c r="H70" s="16">
        <x:v>542</x:v>
      </x:c>
      <x:c r="I70" s="25">
        <x:f>E70/H70</x:f>
        <x:v>0.11070110701107011</x:v>
      </x:c>
    </x:row>
    <x:row r="71" ht="36" customHeight="1">
      <x:c r="A71" s="13" t="inlineStr">
        <x:is>
          <x:t xml:space="preserve">Ökologie</x:t>
        </x:is>
      </x:c>
      <x:c r="B71" s="13" t="n">
        <x:v>6</x:v>
      </x:c>
      <x:c r="C71" s="13" t="inlineStr">
        <x:is>
          <x:t xml:space="preserve">Ressourcen, Kreislaufwirtschaft und Lebensmittelverluste</x:t>
        </x:is>
      </x:c>
      <x:c r="D71" s="21" t="n">
        <x:v>2018</x:v>
      </x:c>
      <x:c r="E71" s="14">
        <x:v>13</x:v>
      </x:c>
      <x:c r="F71" s="14">
        <x:v>3254</x:v>
      </x:c>
      <x:c r="G71" s="22">
        <x:f>E71/F71</x:f>
        <x:v>0.003995082974800246</x:v>
      </x:c>
      <x:c r="H71" s="14">
        <x:v>993</x:v>
      </x:c>
      <x:c r="I71" s="22">
        <x:f>E71/H71</x:f>
        <x:v>0.013091641490433032</x:v>
      </x:c>
    </x:row>
    <x:row r="72" ht="36" customHeight="1">
      <x:c r="A72" s="15" t="inlineStr">
        <x:is>
          <x:t xml:space="preserve">Ökologie</x:t>
        </x:is>
      </x:c>
      <x:c r="B72" s="15" t="n">
        <x:v>6</x:v>
      </x:c>
      <x:c r="C72" s="15" t="inlineStr">
        <x:is>
          <x:t xml:space="preserve">Ressourcen, Kreislaufwirtschaft und Lebensmittelverluste</x:t>
        </x:is>
      </x:c>
      <x:c r="D72" s="24" t="n">
        <x:v>2019</x:v>
      </x:c>
      <x:c r="E72" s="16">
        <x:v>49</x:v>
      </x:c>
      <x:c r="F72" s="16">
        <x:v>2800</x:v>
      </x:c>
      <x:c r="G72" s="25">
        <x:f>E72/F72</x:f>
        <x:v>0.0175</x:v>
      </x:c>
      <x:c r="H72" s="16">
        <x:v>849</x:v>
      </x:c>
      <x:c r="I72" s="25">
        <x:f>E72/H72</x:f>
        <x:v>0.05771495877502945</x:v>
      </x:c>
    </x:row>
    <x:row r="73" ht="36" customHeight="1">
      <x:c r="A73" s="13" t="inlineStr">
        <x:is>
          <x:t xml:space="preserve">Ökologie</x:t>
        </x:is>
      </x:c>
      <x:c r="B73" s="13" t="n">
        <x:v>6</x:v>
      </x:c>
      <x:c r="C73" s="13" t="inlineStr">
        <x:is>
          <x:t xml:space="preserve">Ressourcen, Kreislaufwirtschaft und Lebensmittelverluste</x:t>
        </x:is>
      </x:c>
      <x:c r="D73" s="21" t="n">
        <x:v>2020</x:v>
      </x:c>
      <x:c r="E73" s="14">
        <x:v>16</x:v>
      </x:c>
      <x:c r="F73" s="14">
        <x:v>3133</x:v>
      </x:c>
      <x:c r="G73" s="22">
        <x:f>E73/F73</x:f>
        <x:v>0.005106926268751995</x:v>
      </x:c>
      <x:c r="H73" s="14">
        <x:v>734</x:v>
      </x:c>
      <x:c r="I73" s="22">
        <x:f>E73/H73</x:f>
        <x:v>0.021798365122615803</x:v>
      </x:c>
    </x:row>
    <x:row r="74" ht="36" customHeight="1">
      <x:c r="A74" s="15" t="inlineStr">
        <x:is>
          <x:t xml:space="preserve">Ökologie</x:t>
        </x:is>
      </x:c>
      <x:c r="B74" s="15" t="n">
        <x:v>6</x:v>
      </x:c>
      <x:c r="C74" s="15" t="inlineStr">
        <x:is>
          <x:t xml:space="preserve">Ressourcen, Kreislaufwirtschaft und Lebensmittelverluste</x:t>
        </x:is>
      </x:c>
      <x:c r="D74" s="24" t="n">
        <x:v>2021</x:v>
      </x:c>
      <x:c r="E74" s="16">
        <x:v>30</x:v>
      </x:c>
      <x:c r="F74" s="16">
        <x:v>2320</x:v>
      </x:c>
      <x:c r="G74" s="25">
        <x:f>E74/F74</x:f>
        <x:v>0.01293103448275862</x:v>
      </x:c>
      <x:c r="H74" s="16">
        <x:v>801</x:v>
      </x:c>
      <x:c r="I74" s="25">
        <x:f>E74/H74</x:f>
        <x:v>0.03745318352059925</x:v>
      </x:c>
    </x:row>
    <x:row r="75" ht="36" customHeight="1">
      <x:c r="A75" s="13" t="inlineStr">
        <x:is>
          <x:t xml:space="preserve">Ökologie</x:t>
        </x:is>
      </x:c>
      <x:c r="B75" s="13" t="n">
        <x:v>6</x:v>
      </x:c>
      <x:c r="C75" s="13" t="inlineStr">
        <x:is>
          <x:t xml:space="preserve">Ressourcen, Kreislaufwirtschaft und Lebensmittelverluste</x:t>
        </x:is>
      </x:c>
      <x:c r="D75" s="21" t="n">
        <x:v>2022</x:v>
      </x:c>
      <x:c r="E75" s="14">
        <x:v>33</x:v>
      </x:c>
      <x:c r="F75" s="14">
        <x:v>4018</x:v>
      </x:c>
      <x:c r="G75" s="22">
        <x:f>E75/F75</x:f>
        <x:v>0.00821304131408661</x:v>
      </x:c>
      <x:c r="H75" s="14">
        <x:v>931</x:v>
      </x:c>
      <x:c r="I75" s="22">
        <x:f>E75/H75</x:f>
        <x:v>0.03544575725026853</x:v>
      </x:c>
    </x:row>
    <x:row r="76" ht="36" customHeight="1">
      <x:c r="A76" s="15" t="inlineStr">
        <x:is>
          <x:t xml:space="preserve">Ökologie</x:t>
        </x:is>
      </x:c>
      <x:c r="B76" s="15" t="n">
        <x:v>6</x:v>
      </x:c>
      <x:c r="C76" s="15" t="inlineStr">
        <x:is>
          <x:t xml:space="preserve">Ressourcen, Kreislaufwirtschaft und Lebensmittelverluste</x:t>
        </x:is>
      </x:c>
      <x:c r="D76" s="24" t="n">
        <x:v>2023</x:v>
      </x:c>
      <x:c r="E76" s="16">
        <x:v>57</x:v>
      </x:c>
      <x:c r="F76" s="16">
        <x:v>3417</x:v>
      </x:c>
      <x:c r="G76" s="25">
        <x:f>E76/F76</x:f>
        <x:v>0.016681299385425813</x:v>
      </x:c>
      <x:c r="H76" s="16">
        <x:v>924</x:v>
      </x:c>
      <x:c r="I76" s="25">
        <x:f>E76/H76</x:f>
        <x:v>0.06168831168831169</x:v>
      </x:c>
    </x:row>
    <x:row r="77" ht="36" customHeight="1">
      <x:c r="A77" s="13" t="inlineStr">
        <x:is>
          <x:t xml:space="preserve">Ökologie</x:t>
        </x:is>
      </x:c>
      <x:c r="B77" s="13" t="n">
        <x:v>6</x:v>
      </x:c>
      <x:c r="C77" s="13" t="inlineStr">
        <x:is>
          <x:t xml:space="preserve">Ressourcen, Kreislaufwirtschaft und Lebensmittelverluste</x:t>
        </x:is>
      </x:c>
      <x:c r="D77" s="21" t="n">
        <x:v>2024</x:v>
      </x:c>
      <x:c r="E77" s="14">
        <x:v>12</x:v>
      </x:c>
      <x:c r="F77" s="14">
        <x:v>4026</x:v>
      </x:c>
      <x:c r="G77" s="22">
        <x:f>E77/F77</x:f>
        <x:v>0.0029806259314456036</x:v>
      </x:c>
      <x:c r="H77" s="14">
        <x:v>707</x:v>
      </x:c>
      <x:c r="I77" s="22">
        <x:f>E77/H77</x:f>
        <x:v>0.016973125884016973</x:v>
      </x:c>
    </x:row>
    <x:row r="78" ht="36" customHeight="1">
      <x:c r="A78" s="15" t="inlineStr">
        <x:is>
          <x:t xml:space="preserve">Ökologie</x:t>
        </x:is>
      </x:c>
      <x:c r="B78" s="15" t="n">
        <x:v>6</x:v>
      </x:c>
      <x:c r="C78" s="15" t="inlineStr">
        <x:is>
          <x:t xml:space="preserve">Ressourcen, Kreislaufwirtschaft und Lebensmittelverluste</x:t>
        </x:is>
      </x:c>
      <x:c r="D78" s="24" t="n">
        <x:v>2025</x:v>
      </x:c>
      <x:c r="E78" s="16">
        <x:v>11</x:v>
      </x:c>
      <x:c r="F78" s="16">
        <x:v>2279</x:v>
      </x:c>
      <x:c r="G78" s="25">
        <x:f>E78/F78</x:f>
        <x:v>0.004826678367705134</x:v>
      </x:c>
      <x:c r="H78" s="16">
        <x:v>542</x:v>
      </x:c>
      <x:c r="I78" s="25">
        <x:f>E78/H78</x:f>
        <x:v>0.02029520295202952</x:v>
      </x:c>
    </x:row>
    <x:row r="79" ht="36" customHeight="1">
      <x:c r="A79" s="13" t="inlineStr">
        <x:is>
          <x:t xml:space="preserve">Ökologie</x:t>
        </x:is>
      </x:c>
      <x:c r="B79" s="13" t="n">
        <x:v>7</x:v>
      </x:c>
      <x:c r="C79" s="13" t="inlineStr">
        <x:is>
          <x:t xml:space="preserve">Umwelt, Ökologie und Nachhaltigkeitsbegriffe</x:t>
        </x:is>
      </x:c>
      <x:c r="D79" s="21" t="n">
        <x:v>2018</x:v>
      </x:c>
      <x:c r="E79" s="14">
        <x:v>205</x:v>
      </x:c>
      <x:c r="F79" s="14">
        <x:v>3254</x:v>
      </x:c>
      <x:c r="G79" s="22">
        <x:f>E79/F79</x:f>
        <x:v>0.06299938537185003</x:v>
      </x:c>
      <x:c r="H79" s="14">
        <x:v>993</x:v>
      </x:c>
      <x:c r="I79" s="22">
        <x:f>E79/H79</x:f>
        <x:v>0.20644511581067473</x:v>
      </x:c>
    </x:row>
    <x:row r="80" ht="36" customHeight="1">
      <x:c r="A80" s="15" t="inlineStr">
        <x:is>
          <x:t xml:space="preserve">Ökologie</x:t>
        </x:is>
      </x:c>
      <x:c r="B80" s="15" t="n">
        <x:v>7</x:v>
      </x:c>
      <x:c r="C80" s="15" t="inlineStr">
        <x:is>
          <x:t xml:space="preserve">Umwelt, Ökologie und Nachhaltigkeitsbegriffe</x:t>
        </x:is>
      </x:c>
      <x:c r="D80" s="24" t="n">
        <x:v>2019</x:v>
      </x:c>
      <x:c r="E80" s="16">
        <x:v>157</x:v>
      </x:c>
      <x:c r="F80" s="16">
        <x:v>2800</x:v>
      </x:c>
      <x:c r="G80" s="25">
        <x:f>E80/F80</x:f>
        <x:v>0.05607142857142857</x:v>
      </x:c>
      <x:c r="H80" s="16">
        <x:v>849</x:v>
      </x:c>
      <x:c r="I80" s="25">
        <x:f>E80/H80</x:f>
        <x:v>0.18492343934040048</x:v>
      </x:c>
    </x:row>
    <x:row r="81" ht="36" customHeight="1">
      <x:c r="A81" s="13" t="inlineStr">
        <x:is>
          <x:t xml:space="preserve">Ökologie</x:t>
        </x:is>
      </x:c>
      <x:c r="B81" s="13" t="n">
        <x:v>7</x:v>
      </x:c>
      <x:c r="C81" s="13" t="inlineStr">
        <x:is>
          <x:t xml:space="preserve">Umwelt, Ökologie und Nachhaltigkeitsbegriffe</x:t>
        </x:is>
      </x:c>
      <x:c r="D81" s="21" t="n">
        <x:v>2020</x:v>
      </x:c>
      <x:c r="E81" s="14">
        <x:v>172</x:v>
      </x:c>
      <x:c r="F81" s="14">
        <x:v>3133</x:v>
      </x:c>
      <x:c r="G81" s="22">
        <x:f>E81/F81</x:f>
        <x:v>0.054899457389083944</x:v>
      </x:c>
      <x:c r="H81" s="14">
        <x:v>734</x:v>
      </x:c>
      <x:c r="I81" s="22">
        <x:f>E81/H81</x:f>
        <x:v>0.23433242506811988</x:v>
      </x:c>
    </x:row>
    <x:row r="82" ht="36" customHeight="1">
      <x:c r="A82" s="15" t="inlineStr">
        <x:is>
          <x:t xml:space="preserve">Ökologie</x:t>
        </x:is>
      </x:c>
      <x:c r="B82" s="15" t="n">
        <x:v>7</x:v>
      </x:c>
      <x:c r="C82" s="15" t="inlineStr">
        <x:is>
          <x:t xml:space="preserve">Umwelt, Ökologie und Nachhaltigkeitsbegriffe</x:t>
        </x:is>
      </x:c>
      <x:c r="D82" s="24" t="n">
        <x:v>2021</x:v>
      </x:c>
      <x:c r="E82" s="16">
        <x:v>167</x:v>
      </x:c>
      <x:c r="F82" s="16">
        <x:v>2320</x:v>
      </x:c>
      <x:c r="G82" s="25">
        <x:f>E82/F82</x:f>
        <x:v>0.07198275862068966</x:v>
      </x:c>
      <x:c r="H82" s="16">
        <x:v>801</x:v>
      </x:c>
      <x:c r="I82" s="25">
        <x:f>E82/H82</x:f>
        <x:v>0.20848938826466917</x:v>
      </x:c>
    </x:row>
    <x:row r="83" ht="36" customHeight="1">
      <x:c r="A83" s="13" t="inlineStr">
        <x:is>
          <x:t xml:space="preserve">Ökologie</x:t>
        </x:is>
      </x:c>
      <x:c r="B83" s="13" t="n">
        <x:v>7</x:v>
      </x:c>
      <x:c r="C83" s="13" t="inlineStr">
        <x:is>
          <x:t xml:space="preserve">Umwelt, Ökologie und Nachhaltigkeitsbegriffe</x:t>
        </x:is>
      </x:c>
      <x:c r="D83" s="21" t="n">
        <x:v>2022</x:v>
      </x:c>
      <x:c r="E83" s="14">
        <x:v>252</x:v>
      </x:c>
      <x:c r="F83" s="14">
        <x:v>4018</x:v>
      </x:c>
      <x:c r="G83" s="22">
        <x:f>E83/F83</x:f>
        <x:v>0.0627177700348432</x:v>
      </x:c>
      <x:c r="H83" s="14">
        <x:v>931</x:v>
      </x:c>
      <x:c r="I83" s="22">
        <x:f>E83/H83</x:f>
        <x:v>0.2706766917293233</x:v>
      </x:c>
    </x:row>
    <x:row r="84" ht="36" customHeight="1">
      <x:c r="A84" s="15" t="inlineStr">
        <x:is>
          <x:t xml:space="preserve">Ökologie</x:t>
        </x:is>
      </x:c>
      <x:c r="B84" s="15" t="n">
        <x:v>7</x:v>
      </x:c>
      <x:c r="C84" s="15" t="inlineStr">
        <x:is>
          <x:t xml:space="preserve">Umwelt, Ökologie und Nachhaltigkeitsbegriffe</x:t>
        </x:is>
      </x:c>
      <x:c r="D84" s="24" t="n">
        <x:v>2023</x:v>
      </x:c>
      <x:c r="E84" s="16">
        <x:v>200</x:v>
      </x:c>
      <x:c r="F84" s="16">
        <x:v>3417</x:v>
      </x:c>
      <x:c r="G84" s="25">
        <x:f>E84/F84</x:f>
        <x:v>0.058530875036581796</x:v>
      </x:c>
      <x:c r="H84" s="16">
        <x:v>924</x:v>
      </x:c>
      <x:c r="I84" s="25">
        <x:f>E84/H84</x:f>
        <x:v>0.21645021645021645</x:v>
      </x:c>
    </x:row>
    <x:row r="85" ht="36" customHeight="1">
      <x:c r="A85" s="13" t="inlineStr">
        <x:is>
          <x:t xml:space="preserve">Ökologie</x:t>
        </x:is>
      </x:c>
      <x:c r="B85" s="13" t="n">
        <x:v>7</x:v>
      </x:c>
      <x:c r="C85" s="13" t="inlineStr">
        <x:is>
          <x:t xml:space="preserve">Umwelt, Ökologie und Nachhaltigkeitsbegriffe</x:t>
        </x:is>
      </x:c>
      <x:c r="D85" s="21" t="n">
        <x:v>2024</x:v>
      </x:c>
      <x:c r="E85" s="14">
        <x:v>157</x:v>
      </x:c>
      <x:c r="F85" s="14">
        <x:v>4026</x:v>
      </x:c>
      <x:c r="G85" s="22">
        <x:f>E85/F85</x:f>
        <x:v>0.03899652260307998</x:v>
      </x:c>
      <x:c r="H85" s="14">
        <x:v>707</x:v>
      </x:c>
      <x:c r="I85" s="22">
        <x:f>E85/H85</x:f>
        <x:v>0.22206506364922207</x:v>
      </x:c>
    </x:row>
    <x:row r="86" ht="36" customHeight="1">
      <x:c r="A86" s="15" t="inlineStr">
        <x:is>
          <x:t xml:space="preserve">Ökologie</x:t>
        </x:is>
      </x:c>
      <x:c r="B86" s="15" t="n">
        <x:v>7</x:v>
      </x:c>
      <x:c r="C86" s="15" t="inlineStr">
        <x:is>
          <x:t xml:space="preserve">Umwelt, Ökologie und Nachhaltigkeitsbegriffe</x:t>
        </x:is>
      </x:c>
      <x:c r="D86" s="24" t="n">
        <x:v>2025</x:v>
      </x:c>
      <x:c r="E86" s="16">
        <x:v>122</x:v>
      </x:c>
      <x:c r="F86" s="16">
        <x:v>2279</x:v>
      </x:c>
      <x:c r="G86" s="25">
        <x:f>E86/F86</x:f>
        <x:v>0.05353225098727512</x:v>
      </x:c>
      <x:c r="H86" s="16">
        <x:v>542</x:v>
      </x:c>
      <x:c r="I86" s="25">
        <x:f>E86/H86</x:f>
        <x:v>0.22509225092250923</x:v>
      </x:c>
    </x:row>
    <x:row r="87" ht="36" customHeight="1">
      <x:c r="A87" s="13" t="inlineStr">
        <x:is>
          <x:t xml:space="preserve">Ökonomie</x:t>
        </x:is>
      </x:c>
      <x:c r="B87" s="13" t="n">
        <x:v>1</x:v>
      </x:c>
      <x:c r="C87" s="13" t="inlineStr">
        <x:is>
          <x:t xml:space="preserve">Preise und Kosten</x:t>
        </x:is>
      </x:c>
      <x:c r="D87" s="21" t="n">
        <x:v>2018</x:v>
      </x:c>
      <x:c r="E87" s="14">
        <x:v>96</x:v>
      </x:c>
      <x:c r="F87" s="14">
        <x:v>3254</x:v>
      </x:c>
      <x:c r="G87" s="22">
        <x:f>E87/F87</x:f>
        <x:v>0.02950215119852489</x:v>
      </x:c>
      <x:c r="H87" s="14">
        <x:v>530</x:v>
      </x:c>
      <x:c r="I87" s="22">
        <x:f>E87/H87</x:f>
        <x:v>0.1811320754716981</x:v>
      </x:c>
    </x:row>
    <x:row r="88" ht="36" customHeight="1">
      <x:c r="A88" s="15" t="inlineStr">
        <x:is>
          <x:t xml:space="preserve">Ökonomie</x:t>
        </x:is>
      </x:c>
      <x:c r="B88" s="15" t="n">
        <x:v>1</x:v>
      </x:c>
      <x:c r="C88" s="15" t="inlineStr">
        <x:is>
          <x:t xml:space="preserve">Preise und Kosten</x:t>
        </x:is>
      </x:c>
      <x:c r="D88" s="24" t="n">
        <x:v>2019</x:v>
      </x:c>
      <x:c r="E88" s="16">
        <x:v>79</x:v>
      </x:c>
      <x:c r="F88" s="16">
        <x:v>2800</x:v>
      </x:c>
      <x:c r="G88" s="25">
        <x:f>E88/F88</x:f>
        <x:v>0.028214285714285713</x:v>
      </x:c>
      <x:c r="H88" s="16">
        <x:v>435</x:v>
      </x:c>
      <x:c r="I88" s="25">
        <x:f>E88/H88</x:f>
        <x:v>0.18160919540229886</x:v>
      </x:c>
    </x:row>
    <x:row r="89" ht="36" customHeight="1">
      <x:c r="A89" s="13" t="inlineStr">
        <x:is>
          <x:t xml:space="preserve">Ökonomie</x:t>
        </x:is>
      </x:c>
      <x:c r="B89" s="13" t="n">
        <x:v>1</x:v>
      </x:c>
      <x:c r="C89" s="13" t="inlineStr">
        <x:is>
          <x:t xml:space="preserve">Preise und Kosten</x:t>
        </x:is>
      </x:c>
      <x:c r="D89" s="21" t="n">
        <x:v>2020</x:v>
      </x:c>
      <x:c r="E89" s="14">
        <x:v>123</x:v>
      </x:c>
      <x:c r="F89" s="14">
        <x:v>3133</x:v>
      </x:c>
      <x:c r="G89" s="22">
        <x:f>E89/F89</x:f>
        <x:v>0.03925949569103096</x:v>
      </x:c>
      <x:c r="H89" s="14">
        <x:v>524</x:v>
      </x:c>
      <x:c r="I89" s="22">
        <x:f>E89/H89</x:f>
        <x:v>0.23473282442748092</x:v>
      </x:c>
    </x:row>
    <x:row r="90" ht="36" customHeight="1">
      <x:c r="A90" s="15" t="inlineStr">
        <x:is>
          <x:t xml:space="preserve">Ökonomie</x:t>
        </x:is>
      </x:c>
      <x:c r="B90" s="15" t="n">
        <x:v>1</x:v>
      </x:c>
      <x:c r="C90" s="15" t="inlineStr">
        <x:is>
          <x:t xml:space="preserve">Preise und Kosten</x:t>
        </x:is>
      </x:c>
      <x:c r="D90" s="24" t="n">
        <x:v>2021</x:v>
      </x:c>
      <x:c r="E90" s="16">
        <x:v>88</x:v>
      </x:c>
      <x:c r="F90" s="16">
        <x:v>2320</x:v>
      </x:c>
      <x:c r="G90" s="25">
        <x:f>E90/F90</x:f>
        <x:v>0.03793103448275862</x:v>
      </x:c>
      <x:c r="H90" s="16">
        <x:v>520</x:v>
      </x:c>
      <x:c r="I90" s="25">
        <x:f>E90/H90</x:f>
        <x:v>0.16923076923076924</x:v>
      </x:c>
    </x:row>
    <x:row r="91" ht="36" customHeight="1">
      <x:c r="A91" s="13" t="inlineStr">
        <x:is>
          <x:t xml:space="preserve">Ökonomie</x:t>
        </x:is>
      </x:c>
      <x:c r="B91" s="13" t="n">
        <x:v>1</x:v>
      </x:c>
      <x:c r="C91" s="13" t="inlineStr">
        <x:is>
          <x:t xml:space="preserve">Preise und Kosten</x:t>
        </x:is>
      </x:c>
      <x:c r="D91" s="21" t="n">
        <x:v>2022</x:v>
      </x:c>
      <x:c r="E91" s="14">
        <x:v>544</x:v>
      </x:c>
      <x:c r="F91" s="14">
        <x:v>4018</x:v>
      </x:c>
      <x:c r="G91" s="22">
        <x:f>E91/F91</x:f>
        <x:v>0.13539074166251866</x:v>
      </x:c>
      <x:c r="H91" s="14">
        <x:v>1173</x:v>
      </x:c>
      <x:c r="I91" s="22">
        <x:f>E91/H91</x:f>
        <x:v>0.463768115942029</x:v>
      </x:c>
    </x:row>
    <x:row r="92" ht="36" customHeight="1">
      <x:c r="A92" s="15" t="inlineStr">
        <x:is>
          <x:t xml:space="preserve">Ökonomie</x:t>
        </x:is>
      </x:c>
      <x:c r="B92" s="15" t="n">
        <x:v>1</x:v>
      </x:c>
      <x:c r="C92" s="15" t="inlineStr">
        <x:is>
          <x:t xml:space="preserve">Preise und Kosten</x:t>
        </x:is>
      </x:c>
      <x:c r="D92" s="24" t="n">
        <x:v>2023</x:v>
      </x:c>
      <x:c r="E92" s="16">
        <x:v>277</x:v>
      </x:c>
      <x:c r="F92" s="16">
        <x:v>3417</x:v>
      </x:c>
      <x:c r="G92" s="25">
        <x:f>E92/F92</x:f>
        <x:v>0.0810652619256658</x:v>
      </x:c>
      <x:c r="H92" s="16">
        <x:v>748</x:v>
      </x:c>
      <x:c r="I92" s="25">
        <x:f>E92/H92</x:f>
        <x:v>0.37032085561497324</x:v>
      </x:c>
    </x:row>
    <x:row r="93" ht="36" customHeight="1">
      <x:c r="A93" s="13" t="inlineStr">
        <x:is>
          <x:t xml:space="preserve">Ökonomie</x:t>
        </x:is>
      </x:c>
      <x:c r="B93" s="13" t="n">
        <x:v>1</x:v>
      </x:c>
      <x:c r="C93" s="13" t="inlineStr">
        <x:is>
          <x:t xml:space="preserve">Preise und Kosten</x:t>
        </x:is>
      </x:c>
      <x:c r="D93" s="21" t="n">
        <x:v>2024</x:v>
      </x:c>
      <x:c r="E93" s="14">
        <x:v>199</x:v>
      </x:c>
      <x:c r="F93" s="14">
        <x:v>4026</x:v>
      </x:c>
      <x:c r="G93" s="22">
        <x:f>E93/F93</x:f>
        <x:v>0.049428713363139594</x:v>
      </x:c>
      <x:c r="H93" s="14">
        <x:v>1242</x:v>
      </x:c>
      <x:c r="I93" s="22">
        <x:f>E93/H93</x:f>
        <x:v>0.16022544283413848</x:v>
      </x:c>
    </x:row>
    <x:row r="94" ht="36" customHeight="1">
      <x:c r="A94" s="15" t="inlineStr">
        <x:is>
          <x:t xml:space="preserve">Ökonomie</x:t>
        </x:is>
      </x:c>
      <x:c r="B94" s="15" t="n">
        <x:v>1</x:v>
      </x:c>
      <x:c r="C94" s="15" t="inlineStr">
        <x:is>
          <x:t xml:space="preserve">Preise und Kosten</x:t>
        </x:is>
      </x:c>
      <x:c r="D94" s="24" t="n">
        <x:v>2025</x:v>
      </x:c>
      <x:c r="E94" s="16">
        <x:v>148</x:v>
      </x:c>
      <x:c r="F94" s="16">
        <x:v>2279</x:v>
      </x:c>
      <x:c r="G94" s="25">
        <x:f>E94/F94</x:f>
        <x:v>0.06494076349275998</x:v>
      </x:c>
      <x:c r="H94" s="16">
        <x:v>677</x:v>
      </x:c>
      <x:c r="I94" s="25">
        <x:f>E94/H94</x:f>
        <x:v>0.21861152141802068</x:v>
      </x:c>
    </x:row>
    <x:row r="95" ht="36" customHeight="1">
      <x:c r="A95" s="13" t="inlineStr">
        <x:is>
          <x:t xml:space="preserve">Ökonomie</x:t>
        </x:is>
      </x:c>
      <x:c r="B95" s="13" t="n">
        <x:v>2</x:v>
      </x:c>
      <x:c r="C95" s="13" t="inlineStr">
        <x:is>
          <x:t xml:space="preserve">Arbeitskosten und Arbeitskräftemangel</x:t>
        </x:is>
      </x:c>
      <x:c r="D95" s="21" t="n">
        <x:v>2018</x:v>
      </x:c>
      <x:c r="E95" s="14">
        <x:v>3</x:v>
      </x:c>
      <x:c r="F95" s="14">
        <x:v>3254</x:v>
      </x:c>
      <x:c r="G95" s="22">
        <x:f>E95/F95</x:f>
        <x:v>0.0009219422249539029</x:v>
      </x:c>
      <x:c r="H95" s="14">
        <x:v>530</x:v>
      </x:c>
      <x:c r="I95" s="22">
        <x:f>E95/H95</x:f>
        <x:v>0.005660377358490566</x:v>
      </x:c>
    </x:row>
    <x:row r="96" ht="36" customHeight="1">
      <x:c r="A96" s="15" t="inlineStr">
        <x:is>
          <x:t xml:space="preserve">Ökonomie</x:t>
        </x:is>
      </x:c>
      <x:c r="B96" s="15" t="n">
        <x:v>2</x:v>
      </x:c>
      <x:c r="C96" s="15" t="inlineStr">
        <x:is>
          <x:t xml:space="preserve">Arbeitskosten und Arbeitskräftemangel</x:t>
        </x:is>
      </x:c>
      <x:c r="D96" s="24" t="n">
        <x:v>2019</x:v>
      </x:c>
      <x:c r="E96" s="16">
        <x:v>7</x:v>
      </x:c>
      <x:c r="F96" s="16">
        <x:v>2800</x:v>
      </x:c>
      <x:c r="G96" s="25">
        <x:f>E96/F96</x:f>
        <x:v>0.0025</x:v>
      </x:c>
      <x:c r="H96" s="16">
        <x:v>435</x:v>
      </x:c>
      <x:c r="I96" s="25">
        <x:f>E96/H96</x:f>
        <x:v>0.016091954022988506</x:v>
      </x:c>
    </x:row>
    <x:row r="97" ht="36" customHeight="1">
      <x:c r="A97" s="13" t="inlineStr">
        <x:is>
          <x:t xml:space="preserve">Ökonomie</x:t>
        </x:is>
      </x:c>
      <x:c r="B97" s="13" t="n">
        <x:v>2</x:v>
      </x:c>
      <x:c r="C97" s="13" t="inlineStr">
        <x:is>
          <x:t xml:space="preserve">Arbeitskosten und Arbeitskräftemangel</x:t>
        </x:is>
      </x:c>
      <x:c r="D97" s="21" t="n">
        <x:v>2020</x:v>
      </x:c>
      <x:c r="E97" s="14">
        <x:v>33</x:v>
      </x:c>
      <x:c r="F97" s="14">
        <x:v>3133</x:v>
      </x:c>
      <x:c r="G97" s="22">
        <x:f>E97/F97</x:f>
        <x:v>0.01053303542930099</x:v>
      </x:c>
      <x:c r="H97" s="14">
        <x:v>524</x:v>
      </x:c>
      <x:c r="I97" s="22">
        <x:f>E97/H97</x:f>
        <x:v>0.06297709923664122</x:v>
      </x:c>
    </x:row>
    <x:row r="98" ht="36" customHeight="1">
      <x:c r="A98" s="15" t="inlineStr">
        <x:is>
          <x:t xml:space="preserve">Ökonomie</x:t>
        </x:is>
      </x:c>
      <x:c r="B98" s="15" t="n">
        <x:v>2</x:v>
      </x:c>
      <x:c r="C98" s="15" t="inlineStr">
        <x:is>
          <x:t xml:space="preserve">Arbeitskosten und Arbeitskräftemangel</x:t>
        </x:is>
      </x:c>
      <x:c r="D98" s="24" t="n">
        <x:v>2021</x:v>
      </x:c>
      <x:c r="E98" s="16">
        <x:v>9</x:v>
      </x:c>
      <x:c r="F98" s="16">
        <x:v>2320</x:v>
      </x:c>
      <x:c r="G98" s="25">
        <x:f>E98/F98</x:f>
        <x:v>0.003879310344827586</x:v>
      </x:c>
      <x:c r="H98" s="16">
        <x:v>520</x:v>
      </x:c>
      <x:c r="I98" s="25">
        <x:f>E98/H98</x:f>
        <x:v>0.01730769230769231</x:v>
      </x:c>
    </x:row>
    <x:row r="99" ht="36" customHeight="1">
      <x:c r="A99" s="13" t="inlineStr">
        <x:is>
          <x:t xml:space="preserve">Ökonomie</x:t>
        </x:is>
      </x:c>
      <x:c r="B99" s="13" t="n">
        <x:v>2</x:v>
      </x:c>
      <x:c r="C99" s="13" t="inlineStr">
        <x:is>
          <x:t xml:space="preserve">Arbeitskosten und Arbeitskräftemangel</x:t>
        </x:is>
      </x:c>
      <x:c r="D99" s="21" t="n">
        <x:v>2022</x:v>
      </x:c>
      <x:c r="E99" s="14">
        <x:v>25</x:v>
      </x:c>
      <x:c r="F99" s="14">
        <x:v>4018</x:v>
      </x:c>
      <x:c r="G99" s="22">
        <x:f>E99/F99</x:f>
        <x:v>0.0062220009955201595</x:v>
      </x:c>
      <x:c r="H99" s="14">
        <x:v>1173</x:v>
      </x:c>
      <x:c r="I99" s="22">
        <x:f>E99/H99</x:f>
        <x:v>0.021312872975277068</x:v>
      </x:c>
    </x:row>
    <x:row r="100" ht="36" customHeight="1">
      <x:c r="A100" s="15" t="inlineStr">
        <x:is>
          <x:t xml:space="preserve">Ökonomie</x:t>
        </x:is>
      </x:c>
      <x:c r="B100" s="15" t="n">
        <x:v>2</x:v>
      </x:c>
      <x:c r="C100" s="15" t="inlineStr">
        <x:is>
          <x:t xml:space="preserve">Arbeitskosten und Arbeitskräftemangel</x:t>
        </x:is>
      </x:c>
      <x:c r="D100" s="24" t="n">
        <x:v>2023</x:v>
      </x:c>
      <x:c r="E100" s="16">
        <x:v>29</x:v>
      </x:c>
      <x:c r="F100" s="16">
        <x:v>3417</x:v>
      </x:c>
      <x:c r="G100" s="25">
        <x:f>E100/F100</x:f>
        <x:v>0.008486976880304361</x:v>
      </x:c>
      <x:c r="H100" s="16">
        <x:v>748</x:v>
      </x:c>
      <x:c r="I100" s="25">
        <x:f>E100/H100</x:f>
        <x:v>0.03877005347593583</x:v>
      </x:c>
    </x:row>
    <x:row r="101" ht="36" customHeight="1">
      <x:c r="A101" s="13" t="inlineStr">
        <x:is>
          <x:t xml:space="preserve">Ökonomie</x:t>
        </x:is>
      </x:c>
      <x:c r="B101" s="13" t="n">
        <x:v>2</x:v>
      </x:c>
      <x:c r="C101" s="13" t="inlineStr">
        <x:is>
          <x:t xml:space="preserve">Arbeitskosten und Arbeitskräftemangel</x:t>
        </x:is>
      </x:c>
      <x:c r="D101" s="21" t="n">
        <x:v>2024</x:v>
      </x:c>
      <x:c r="E101" s="14">
        <x:v>37</x:v>
      </x:c>
      <x:c r="F101" s="14">
        <x:v>4026</x:v>
      </x:c>
      <x:c r="G101" s="22">
        <x:f>E101/F101</x:f>
        <x:v>0.009190263288623945</x:v>
      </x:c>
      <x:c r="H101" s="14">
        <x:v>1242</x:v>
      </x:c>
      <x:c r="I101" s="22">
        <x:f>E101/H101</x:f>
        <x:v>0.029790660225442835</x:v>
      </x:c>
    </x:row>
    <x:row r="102" ht="36" customHeight="1">
      <x:c r="A102" s="15" t="inlineStr">
        <x:is>
          <x:t xml:space="preserve">Ökonomie</x:t>
        </x:is>
      </x:c>
      <x:c r="B102" s="15" t="n">
        <x:v>2</x:v>
      </x:c>
      <x:c r="C102" s="15" t="inlineStr">
        <x:is>
          <x:t xml:space="preserve">Arbeitskosten und Arbeitskräftemangel</x:t>
        </x:is>
      </x:c>
      <x:c r="D102" s="24" t="n">
        <x:v>2025</x:v>
      </x:c>
      <x:c r="E102" s="16">
        <x:v>22</x:v>
      </x:c>
      <x:c r="F102" s="16">
        <x:v>2279</x:v>
      </x:c>
      <x:c r="G102" s="25">
        <x:f>E102/F102</x:f>
        <x:v>0.009653356735410267</x:v>
      </x:c>
      <x:c r="H102" s="16">
        <x:v>677</x:v>
      </x:c>
      <x:c r="I102" s="25">
        <x:f>E102/H102</x:f>
        <x:v>0.03249630723781388</x:v>
      </x:c>
    </x:row>
    <x:row r="103" ht="36" customHeight="1">
      <x:c r="A103" s="13" t="inlineStr">
        <x:is>
          <x:t xml:space="preserve">Ökonomie</x:t>
        </x:is>
      </x:c>
      <x:c r="B103" s="13" t="n">
        <x:v>3</x:v>
      </x:c>
      <x:c r="C103" s="13" t="inlineStr">
        <x:is>
          <x:t xml:space="preserve">Finanzierung, Investition und Zahlungen</x:t>
        </x:is>
      </x:c>
      <x:c r="D103" s="21" t="n">
        <x:v>2018</x:v>
      </x:c>
      <x:c r="E103" s="14">
        <x:v>98</x:v>
      </x:c>
      <x:c r="F103" s="14">
        <x:v>3254</x:v>
      </x:c>
      <x:c r="G103" s="22">
        <x:f>E103/F103</x:f>
        <x:v>0.03011677934849416</x:v>
      </x:c>
      <x:c r="H103" s="14">
        <x:v>530</x:v>
      </x:c>
      <x:c r="I103" s="22">
        <x:f>E103/H103</x:f>
        <x:v>0.18490566037735848</x:v>
      </x:c>
    </x:row>
    <x:row r="104" ht="36" customHeight="1">
      <x:c r="A104" s="15" t="inlineStr">
        <x:is>
          <x:t xml:space="preserve">Ökonomie</x:t>
        </x:is>
      </x:c>
      <x:c r="B104" s="15" t="n">
        <x:v>3</x:v>
      </x:c>
      <x:c r="C104" s="15" t="inlineStr">
        <x:is>
          <x:t xml:space="preserve">Finanzierung, Investition und Zahlungen</x:t>
        </x:is>
      </x:c>
      <x:c r="D104" s="24" t="n">
        <x:v>2019</x:v>
      </x:c>
      <x:c r="E104" s="16">
        <x:v>69</x:v>
      </x:c>
      <x:c r="F104" s="16">
        <x:v>2800</x:v>
      </x:c>
      <x:c r="G104" s="25">
        <x:f>E104/F104</x:f>
        <x:v>0.024642857142857143</x:v>
      </x:c>
      <x:c r="H104" s="16">
        <x:v>435</x:v>
      </x:c>
      <x:c r="I104" s="25">
        <x:f>E104/H104</x:f>
        <x:v>0.15862068965517243</x:v>
      </x:c>
    </x:row>
    <x:row r="105" ht="36" customHeight="1">
      <x:c r="A105" s="13" t="inlineStr">
        <x:is>
          <x:t xml:space="preserve">Ökonomie</x:t>
        </x:is>
      </x:c>
      <x:c r="B105" s="13" t="n">
        <x:v>3</x:v>
      </x:c>
      <x:c r="C105" s="13" t="inlineStr">
        <x:is>
          <x:t xml:space="preserve">Finanzierung, Investition und Zahlungen</x:t>
        </x:is>
      </x:c>
      <x:c r="D105" s="21" t="n">
        <x:v>2020</x:v>
      </x:c>
      <x:c r="E105" s="14">
        <x:v>83</x:v>
      </x:c>
      <x:c r="F105" s="14">
        <x:v>3133</x:v>
      </x:c>
      <x:c r="G105" s="22">
        <x:f>E105/F105</x:f>
        <x:v>0.026492180019150973</x:v>
      </x:c>
      <x:c r="H105" s="14">
        <x:v>524</x:v>
      </x:c>
      <x:c r="I105" s="22">
        <x:f>E105/H105</x:f>
        <x:v>0.15839694656488548</x:v>
      </x:c>
    </x:row>
    <x:row r="106" ht="36" customHeight="1">
      <x:c r="A106" s="15" t="inlineStr">
        <x:is>
          <x:t xml:space="preserve">Ökonomie</x:t>
        </x:is>
      </x:c>
      <x:c r="B106" s="15" t="n">
        <x:v>3</x:v>
      </x:c>
      <x:c r="C106" s="15" t="inlineStr">
        <x:is>
          <x:t xml:space="preserve">Finanzierung, Investition und Zahlungen</x:t>
        </x:is>
      </x:c>
      <x:c r="D106" s="24" t="n">
        <x:v>2021</x:v>
      </x:c>
      <x:c r="E106" s="16">
        <x:v>73</x:v>
      </x:c>
      <x:c r="F106" s="16">
        <x:v>2320</x:v>
      </x:c>
      <x:c r="G106" s="25">
        <x:f>E106/F106</x:f>
        <x:v>0.03146551724137931</x:v>
      </x:c>
      <x:c r="H106" s="16">
        <x:v>520</x:v>
      </x:c>
      <x:c r="I106" s="25">
        <x:f>E106/H106</x:f>
        <x:v>0.14038461538461539</x:v>
      </x:c>
    </x:row>
    <x:row r="107" ht="36" customHeight="1">
      <x:c r="A107" s="13" t="inlineStr">
        <x:is>
          <x:t xml:space="preserve">Ökonomie</x:t>
        </x:is>
      </x:c>
      <x:c r="B107" s="13" t="n">
        <x:v>3</x:v>
      </x:c>
      <x:c r="C107" s="13" t="inlineStr">
        <x:is>
          <x:t xml:space="preserve">Finanzierung, Investition und Zahlungen</x:t>
        </x:is>
      </x:c>
      <x:c r="D107" s="21" t="n">
        <x:v>2022</x:v>
      </x:c>
      <x:c r="E107" s="14">
        <x:v>168</x:v>
      </x:c>
      <x:c r="F107" s="14">
        <x:v>4018</x:v>
      </x:c>
      <x:c r="G107" s="22">
        <x:f>E107/F107</x:f>
        <x:v>0.041811846689895474</x:v>
      </x:c>
      <x:c r="H107" s="14">
        <x:v>1173</x:v>
      </x:c>
      <x:c r="I107" s="22">
        <x:f>E107/H107</x:f>
        <x:v>0.1432225063938619</x:v>
      </x:c>
    </x:row>
    <x:row r="108" ht="36" customHeight="1">
      <x:c r="A108" s="15" t="inlineStr">
        <x:is>
          <x:t xml:space="preserve">Ökonomie</x:t>
        </x:is>
      </x:c>
      <x:c r="B108" s="15" t="n">
        <x:v>3</x:v>
      </x:c>
      <x:c r="C108" s="15" t="inlineStr">
        <x:is>
          <x:t xml:space="preserve">Finanzierung, Investition und Zahlungen</x:t>
        </x:is>
      </x:c>
      <x:c r="D108" s="24" t="n">
        <x:v>2023</x:v>
      </x:c>
      <x:c r="E108" s="16">
        <x:v>117</x:v>
      </x:c>
      <x:c r="F108" s="16">
        <x:v>3417</x:v>
      </x:c>
      <x:c r="G108" s="25">
        <x:f>E108/F108</x:f>
        <x:v>0.03424056189640035</x:v>
      </x:c>
      <x:c r="H108" s="16">
        <x:v>748</x:v>
      </x:c>
      <x:c r="I108" s="25">
        <x:f>E108/H108</x:f>
        <x:v>0.15641711229946523</x:v>
      </x:c>
    </x:row>
    <x:row r="109" ht="36" customHeight="1">
      <x:c r="A109" s="13" t="inlineStr">
        <x:is>
          <x:t xml:space="preserve">Ökonomie</x:t>
        </x:is>
      </x:c>
      <x:c r="B109" s="13" t="n">
        <x:v>3</x:v>
      </x:c>
      <x:c r="C109" s="13" t="inlineStr">
        <x:is>
          <x:t xml:space="preserve">Finanzierung, Investition und Zahlungen</x:t>
        </x:is>
      </x:c>
      <x:c r="D109" s="21" t="n">
        <x:v>2024</x:v>
      </x:c>
      <x:c r="E109" s="14">
        <x:v>143</x:v>
      </x:c>
      <x:c r="F109" s="14">
        <x:v>4026</x:v>
      </x:c>
      <x:c r="G109" s="22">
        <x:f>E109/F109</x:f>
        <x:v>0.03551912568306011</x:v>
      </x:c>
      <x:c r="H109" s="14">
        <x:v>1242</x:v>
      </x:c>
      <x:c r="I109" s="22">
        <x:f>E109/H109</x:f>
        <x:v>0.11513687600644122</x:v>
      </x:c>
    </x:row>
    <x:row r="110" ht="36" customHeight="1">
      <x:c r="A110" s="15" t="inlineStr">
        <x:is>
          <x:t xml:space="preserve">Ökonomie</x:t>
        </x:is>
      </x:c>
      <x:c r="B110" s="15" t="n">
        <x:v>3</x:v>
      </x:c>
      <x:c r="C110" s="15" t="inlineStr">
        <x:is>
          <x:t xml:space="preserve">Finanzierung, Investition und Zahlungen</x:t>
        </x:is>
      </x:c>
      <x:c r="D110" s="24" t="n">
        <x:v>2025</x:v>
      </x:c>
      <x:c r="E110" s="16">
        <x:v>106</x:v>
      </x:c>
      <x:c r="F110" s="16">
        <x:v>2279</x:v>
      </x:c>
      <x:c r="G110" s="25">
        <x:f>E110/F110</x:f>
        <x:v>0.046511627906976744</x:v>
      </x:c>
      <x:c r="H110" s="16">
        <x:v>677</x:v>
      </x:c>
      <x:c r="I110" s="25">
        <x:f>E110/H110</x:f>
        <x:v>0.15657311669128507</x:v>
      </x:c>
    </x:row>
    <x:row r="111" ht="36" customHeight="1">
      <x:c r="A111" s="13" t="inlineStr">
        <x:is>
          <x:t xml:space="preserve">Ökonomie</x:t>
        </x:is>
      </x:c>
      <x:c r="B111" s="13" t="n">
        <x:v>4</x:v>
      </x:c>
      <x:c r="C111" s="13" t="inlineStr">
        <x:is>
          <x:t xml:space="preserve">Märkte, Handel und Wettbewerb</x:t>
        </x:is>
      </x:c>
      <x:c r="D111" s="21" t="n">
        <x:v>2018</x:v>
      </x:c>
      <x:c r="E111" s="14">
        <x:v>141</x:v>
      </x:c>
      <x:c r="F111" s="14">
        <x:v>3254</x:v>
      </x:c>
      <x:c r="G111" s="22">
        <x:f>E111/F111</x:f>
        <x:v>0.04333128457283344</x:v>
      </x:c>
      <x:c r="H111" s="14">
        <x:v>530</x:v>
      </x:c>
      <x:c r="I111" s="22">
        <x:f>E111/H111</x:f>
        <x:v>0.2660377358490566</x:v>
      </x:c>
    </x:row>
    <x:row r="112" ht="36" customHeight="1">
      <x:c r="A112" s="15" t="inlineStr">
        <x:is>
          <x:t xml:space="preserve">Ökonomie</x:t>
        </x:is>
      </x:c>
      <x:c r="B112" s="15" t="n">
        <x:v>4</x:v>
      </x:c>
      <x:c r="C112" s="15" t="inlineStr">
        <x:is>
          <x:t xml:space="preserve">Märkte, Handel und Wettbewerb</x:t>
        </x:is>
      </x:c>
      <x:c r="D112" s="24" t="n">
        <x:v>2019</x:v>
      </x:c>
      <x:c r="E112" s="16">
        <x:v>129</x:v>
      </x:c>
      <x:c r="F112" s="16">
        <x:v>2800</x:v>
      </x:c>
      <x:c r="G112" s="25">
        <x:f>E112/F112</x:f>
        <x:v>0.04607142857142857</x:v>
      </x:c>
      <x:c r="H112" s="16">
        <x:v>435</x:v>
      </x:c>
      <x:c r="I112" s="25">
        <x:f>E112/H112</x:f>
        <x:v>0.296551724137931</x:v>
      </x:c>
    </x:row>
    <x:row r="113" ht="36" customHeight="1">
      <x:c r="A113" s="13" t="inlineStr">
        <x:is>
          <x:t xml:space="preserve">Ökonomie</x:t>
        </x:is>
      </x:c>
      <x:c r="B113" s="13" t="n">
        <x:v>4</x:v>
      </x:c>
      <x:c r="C113" s="13" t="inlineStr">
        <x:is>
          <x:t xml:space="preserve">Märkte, Handel und Wettbewerb</x:t>
        </x:is>
      </x:c>
      <x:c r="D113" s="21" t="n">
        <x:v>2020</x:v>
      </x:c>
      <x:c r="E113" s="14">
        <x:v>151</x:v>
      </x:c>
      <x:c r="F113" s="14">
        <x:v>3133</x:v>
      </x:c>
      <x:c r="G113" s="22">
        <x:f>E113/F113</x:f>
        <x:v>0.048196616661346954</x:v>
      </x:c>
      <x:c r="H113" s="14">
        <x:v>524</x:v>
      </x:c>
      <x:c r="I113" s="22">
        <x:f>E113/H113</x:f>
        <x:v>0.2881679389312977</x:v>
      </x:c>
    </x:row>
    <x:row r="114" ht="36" customHeight="1">
      <x:c r="A114" s="15" t="inlineStr">
        <x:is>
          <x:t xml:space="preserve">Ökonomie</x:t>
        </x:is>
      </x:c>
      <x:c r="B114" s="15" t="n">
        <x:v>4</x:v>
      </x:c>
      <x:c r="C114" s="15" t="inlineStr">
        <x:is>
          <x:t xml:space="preserve">Märkte, Handel und Wettbewerb</x:t>
        </x:is>
      </x:c>
      <x:c r="D114" s="24" t="n">
        <x:v>2021</x:v>
      </x:c>
      <x:c r="E114" s="16">
        <x:v>118</x:v>
      </x:c>
      <x:c r="F114" s="16">
        <x:v>2320</x:v>
      </x:c>
      <x:c r="G114" s="25">
        <x:f>E114/F114</x:f>
        <x:v>0.05086206896551724</x:v>
      </x:c>
      <x:c r="H114" s="16">
        <x:v>520</x:v>
      </x:c>
      <x:c r="I114" s="25">
        <x:f>E114/H114</x:f>
        <x:v>0.22692307692307692</x:v>
      </x:c>
    </x:row>
    <x:row r="115" ht="36" customHeight="1">
      <x:c r="A115" s="13" t="inlineStr">
        <x:is>
          <x:t xml:space="preserve">Ökonomie</x:t>
        </x:is>
      </x:c>
      <x:c r="B115" s="13" t="n">
        <x:v>4</x:v>
      </x:c>
      <x:c r="C115" s="13" t="inlineStr">
        <x:is>
          <x:t xml:space="preserve">Märkte, Handel und Wettbewerb</x:t>
        </x:is>
      </x:c>
      <x:c r="D115" s="21" t="n">
        <x:v>2022</x:v>
      </x:c>
      <x:c r="E115" s="14">
        <x:v>230</x:v>
      </x:c>
      <x:c r="F115" s="14">
        <x:v>4018</x:v>
      </x:c>
      <x:c r="G115" s="22">
        <x:f>E115/F115</x:f>
        <x:v>0.057242409158785465</x:v>
      </x:c>
      <x:c r="H115" s="14">
        <x:v>1173</x:v>
      </x:c>
      <x:c r="I115" s="22">
        <x:f>E115/H115</x:f>
        <x:v>0.19607843137254902</x:v>
      </x:c>
    </x:row>
    <x:row r="116" ht="36" customHeight="1">
      <x:c r="A116" s="15" t="inlineStr">
        <x:is>
          <x:t xml:space="preserve">Ökonomie</x:t>
        </x:is>
      </x:c>
      <x:c r="B116" s="15" t="n">
        <x:v>4</x:v>
      </x:c>
      <x:c r="C116" s="15" t="inlineStr">
        <x:is>
          <x:t xml:space="preserve">Märkte, Handel und Wettbewerb</x:t>
        </x:is>
      </x:c>
      <x:c r="D116" s="24" t="n">
        <x:v>2023</x:v>
      </x:c>
      <x:c r="E116" s="16">
        <x:v>180</x:v>
      </x:c>
      <x:c r="F116" s="16">
        <x:v>3417</x:v>
      </x:c>
      <x:c r="G116" s="25">
        <x:f>E116/F116</x:f>
        <x:v>0.05267778753292362</x:v>
      </x:c>
      <x:c r="H116" s="16">
        <x:v>748</x:v>
      </x:c>
      <x:c r="I116" s="25">
        <x:f>E116/H116</x:f>
        <x:v>0.24064171122994651</x:v>
      </x:c>
    </x:row>
    <x:row r="117" ht="36" customHeight="1">
      <x:c r="A117" s="13" t="inlineStr">
        <x:is>
          <x:t xml:space="preserve">Ökonomie</x:t>
        </x:is>
      </x:c>
      <x:c r="B117" s="13" t="n">
        <x:v>4</x:v>
      </x:c>
      <x:c r="C117" s="13" t="inlineStr">
        <x:is>
          <x:t xml:space="preserve">Märkte, Handel und Wettbewerb</x:t>
        </x:is>
      </x:c>
      <x:c r="D117" s="21" t="n">
        <x:v>2024</x:v>
      </x:c>
      <x:c r="E117" s="14">
        <x:v>203</x:v>
      </x:c>
      <x:c r="F117" s="14">
        <x:v>4026</x:v>
      </x:c>
      <x:c r="G117" s="22">
        <x:f>E117/F117</x:f>
        <x:v>0.05042225534028813</x:v>
      </x:c>
      <x:c r="H117" s="14">
        <x:v>1242</x:v>
      </x:c>
      <x:c r="I117" s="22">
        <x:f>E117/H117</x:f>
        <x:v>0.16344605475040258</x:v>
      </x:c>
    </x:row>
    <x:row r="118" ht="36" customHeight="1">
      <x:c r="A118" s="15" t="inlineStr">
        <x:is>
          <x:t xml:space="preserve">Ökonomie</x:t>
        </x:is>
      </x:c>
      <x:c r="B118" s="15" t="n">
        <x:v>4</x:v>
      </x:c>
      <x:c r="C118" s="15" t="inlineStr">
        <x:is>
          <x:t xml:space="preserve">Märkte, Handel und Wettbewerb</x:t>
        </x:is>
      </x:c>
      <x:c r="D118" s="24" t="n">
        <x:v>2025</x:v>
      </x:c>
      <x:c r="E118" s="16">
        <x:v>166</x:v>
      </x:c>
      <x:c r="F118" s="16">
        <x:v>2279</x:v>
      </x:c>
      <x:c r="G118" s="25">
        <x:f>E118/F118</x:f>
        <x:v>0.07283896445809565</x:v>
      </x:c>
      <x:c r="H118" s="16">
        <x:v>677</x:v>
      </x:c>
      <x:c r="I118" s="25">
        <x:f>E118/H118</x:f>
        <x:v>0.24519940915805022</x:v>
      </x:c>
    </x:row>
    <x:row r="119" ht="36" customHeight="1">
      <x:c r="A119" s="13" t="inlineStr">
        <x:is>
          <x:t xml:space="preserve">Ökonomie</x:t>
        </x:is>
      </x:c>
      <x:c r="B119" s="13" t="n">
        <x:v>5</x:v>
      </x:c>
      <x:c r="C119" s="13" t="inlineStr">
        <x:is>
          <x:t xml:space="preserve">Einkommen, Wirtschaftlichkeit und Fortbestand</x:t>
        </x:is>
      </x:c>
      <x:c r="D119" s="21" t="n">
        <x:v>2018</x:v>
      </x:c>
      <x:c r="E119" s="14">
        <x:v>153</x:v>
      </x:c>
      <x:c r="F119" s="14">
        <x:v>3254</x:v>
      </x:c>
      <x:c r="G119" s="22">
        <x:f>E119/F119</x:f>
        <x:v>0.04701905347264905</x:v>
      </x:c>
      <x:c r="H119" s="14">
        <x:v>530</x:v>
      </x:c>
      <x:c r="I119" s="22">
        <x:f>E119/H119</x:f>
        <x:v>0.28867924528301886</x:v>
      </x:c>
    </x:row>
    <x:row r="120" ht="36" customHeight="1">
      <x:c r="A120" s="15" t="inlineStr">
        <x:is>
          <x:t xml:space="preserve">Ökonomie</x:t>
        </x:is>
      </x:c>
      <x:c r="B120" s="15" t="n">
        <x:v>5</x:v>
      </x:c>
      <x:c r="C120" s="15" t="inlineStr">
        <x:is>
          <x:t xml:space="preserve">Einkommen, Wirtschaftlichkeit und Fortbestand</x:t>
        </x:is>
      </x:c>
      <x:c r="D120" s="24" t="n">
        <x:v>2019</x:v>
      </x:c>
      <x:c r="E120" s="16">
        <x:v>122</x:v>
      </x:c>
      <x:c r="F120" s="16">
        <x:v>2800</x:v>
      </x:c>
      <x:c r="G120" s="25">
        <x:f>E120/F120</x:f>
        <x:v>0.04357142857142857</x:v>
      </x:c>
      <x:c r="H120" s="16">
        <x:v>435</x:v>
      </x:c>
      <x:c r="I120" s="25">
        <x:f>E120/H120</x:f>
        <x:v>0.28045977011494255</x:v>
      </x:c>
    </x:row>
    <x:row r="121" ht="36" customHeight="1">
      <x:c r="A121" s="13" t="inlineStr">
        <x:is>
          <x:t xml:space="preserve">Ökonomie</x:t>
        </x:is>
      </x:c>
      <x:c r="B121" s="13" t="n">
        <x:v>5</x:v>
      </x:c>
      <x:c r="C121" s="13" t="inlineStr">
        <x:is>
          <x:t xml:space="preserve">Einkommen, Wirtschaftlichkeit und Fortbestand</x:t>
        </x:is>
      </x:c>
      <x:c r="D121" s="21" t="n">
        <x:v>2020</x:v>
      </x:c>
      <x:c r="E121" s="14">
        <x:v>132</x:v>
      </x:c>
      <x:c r="F121" s="14">
        <x:v>3133</x:v>
      </x:c>
      <x:c r="G121" s="22">
        <x:f>E121/F121</x:f>
        <x:v>0.04213214171720396</x:v>
      </x:c>
      <x:c r="H121" s="14">
        <x:v>524</x:v>
      </x:c>
      <x:c r="I121" s="22">
        <x:f>E121/H121</x:f>
        <x:v>0.25190839694656486</x:v>
      </x:c>
    </x:row>
    <x:row r="122" ht="36" customHeight="1">
      <x:c r="A122" s="15" t="inlineStr">
        <x:is>
          <x:t xml:space="preserve">Ökonomie</x:t>
        </x:is>
      </x:c>
      <x:c r="B122" s="15" t="n">
        <x:v>5</x:v>
      </x:c>
      <x:c r="C122" s="15" t="inlineStr">
        <x:is>
          <x:t xml:space="preserve">Einkommen, Wirtschaftlichkeit und Fortbestand</x:t>
        </x:is>
      </x:c>
      <x:c r="D122" s="24" t="n">
        <x:v>2021</x:v>
      </x:c>
      <x:c r="E122" s="16">
        <x:v>138</x:v>
      </x:c>
      <x:c r="F122" s="16">
        <x:v>2320</x:v>
      </x:c>
      <x:c r="G122" s="25">
        <x:f>E122/F122</x:f>
        <x:v>0.059482758620689656</x:v>
      </x:c>
      <x:c r="H122" s="16">
        <x:v>520</x:v>
      </x:c>
      <x:c r="I122" s="25">
        <x:f>E122/H122</x:f>
        <x:v>0.2653846153846154</x:v>
      </x:c>
    </x:row>
    <x:row r="123" ht="36" customHeight="1">
      <x:c r="A123" s="13" t="inlineStr">
        <x:is>
          <x:t xml:space="preserve">Ökonomie</x:t>
        </x:is>
      </x:c>
      <x:c r="B123" s="13" t="n">
        <x:v>5</x:v>
      </x:c>
      <x:c r="C123" s="13" t="inlineStr">
        <x:is>
          <x:t xml:space="preserve">Einkommen, Wirtschaftlichkeit und Fortbestand</x:t>
        </x:is>
      </x:c>
      <x:c r="D123" s="21" t="n">
        <x:v>2022</x:v>
      </x:c>
      <x:c r="E123" s="14">
        <x:v>246</x:v>
      </x:c>
      <x:c r="F123" s="14">
        <x:v>4018</x:v>
      </x:c>
      <x:c r="G123" s="22">
        <x:f>E123/F123</x:f>
        <x:v>0.061224489795918366</x:v>
      </x:c>
      <x:c r="H123" s="14">
        <x:v>1173</x:v>
      </x:c>
      <x:c r="I123" s="22">
        <x:f>E123/H123</x:f>
        <x:v>0.20971867007672634</x:v>
      </x:c>
    </x:row>
    <x:row r="124" ht="36" customHeight="1">
      <x:c r="A124" s="15" t="inlineStr">
        <x:is>
          <x:t xml:space="preserve">Ökonomie</x:t>
        </x:is>
      </x:c>
      <x:c r="B124" s="15" t="n">
        <x:v>5</x:v>
      </x:c>
      <x:c r="C124" s="15" t="inlineStr">
        <x:is>
          <x:t xml:space="preserve">Einkommen, Wirtschaftlichkeit und Fortbestand</x:t>
        </x:is>
      </x:c>
      <x:c r="D124" s="24" t="n">
        <x:v>2023</x:v>
      </x:c>
      <x:c r="E124" s="16">
        <x:v>171</x:v>
      </x:c>
      <x:c r="F124" s="16">
        <x:v>3417</x:v>
      </x:c>
      <x:c r="G124" s="25">
        <x:f>E124/F124</x:f>
        <x:v>0.05004389815627744</x:v>
      </x:c>
      <x:c r="H124" s="16">
        <x:v>748</x:v>
      </x:c>
      <x:c r="I124" s="25">
        <x:f>E124/H124</x:f>
        <x:v>0.2286096256684492</x:v>
      </x:c>
    </x:row>
    <x:row r="125" ht="36" customHeight="1">
      <x:c r="A125" s="13" t="inlineStr">
        <x:is>
          <x:t xml:space="preserve">Ökonomie</x:t>
        </x:is>
      </x:c>
      <x:c r="B125" s="13" t="n">
        <x:v>5</x:v>
      </x:c>
      <x:c r="C125" s="13" t="inlineStr">
        <x:is>
          <x:t xml:space="preserve">Einkommen, Wirtschaftlichkeit und Fortbestand</x:t>
        </x:is>
      </x:c>
      <x:c r="D125" s="21" t="n">
        <x:v>2024</x:v>
      </x:c>
      <x:c r="E125" s="14">
        <x:v>221</x:v>
      </x:c>
      <x:c r="F125" s="14">
        <x:v>4026</x:v>
      </x:c>
      <x:c r="G125" s="22">
        <x:f>E125/F125</x:f>
        <x:v>0.05489319423745653</x:v>
      </x:c>
      <x:c r="H125" s="14">
        <x:v>1242</x:v>
      </x:c>
      <x:c r="I125" s="22">
        <x:f>E125/H125</x:f>
        <x:v>0.177938808373591</x:v>
      </x:c>
    </x:row>
    <x:row r="126" ht="36" customHeight="1">
      <x:c r="A126" s="15" t="inlineStr">
        <x:is>
          <x:t xml:space="preserve">Ökonomie</x:t>
        </x:is>
      </x:c>
      <x:c r="B126" s="15" t="n">
        <x:v>5</x:v>
      </x:c>
      <x:c r="C126" s="15" t="inlineStr">
        <x:is>
          <x:t xml:space="preserve">Einkommen, Wirtschaftlichkeit und Fortbestand</x:t>
        </x:is>
      </x:c>
      <x:c r="D126" s="24" t="n">
        <x:v>2025</x:v>
      </x:c>
      <x:c r="E126" s="16">
        <x:v>117</x:v>
      </x:c>
      <x:c r="F126" s="16">
        <x:v>2279</x:v>
      </x:c>
      <x:c r="G126" s="25">
        <x:f>E126/F126</x:f>
        <x:v>0.051338306274681875</x:v>
      </x:c>
      <x:c r="H126" s="16">
        <x:v>677</x:v>
      </x:c>
      <x:c r="I126" s="25">
        <x:f>E126/H126</x:f>
        <x:v>0.172821270310192</x:v>
      </x:c>
    </x:row>
    <x:row r="127" ht="36" customHeight="1">
      <x:c r="A127" s="13" t="inlineStr">
        <x:is>
          <x:t xml:space="preserve">Ökonomie</x:t>
        </x:is>
      </x:c>
      <x:c r="B127" s="13" t="n">
        <x:v>6</x:v>
      </x:c>
      <x:c r="C127" s="13" t="inlineStr">
        <x:is>
          <x:t xml:space="preserve">Staatliche Zahlungen, Abgaben und Bürokratie</x:t>
        </x:is>
      </x:c>
      <x:c r="D127" s="21" t="n">
        <x:v>2018</x:v>
      </x:c>
      <x:c r="E127" s="14">
        <x:v>116</x:v>
      </x:c>
      <x:c r="F127" s="14">
        <x:v>3254</x:v>
      </x:c>
      <x:c r="G127" s="22">
        <x:f>E127/F127</x:f>
        <x:v>0.03564843269821758</x:v>
      </x:c>
      <x:c r="H127" s="14">
        <x:v>530</x:v>
      </x:c>
      <x:c r="I127" s="22">
        <x:f>E127/H127</x:f>
        <x:v>0.2188679245283019</x:v>
      </x:c>
    </x:row>
    <x:row r="128" ht="36" customHeight="1">
      <x:c r="A128" s="15" t="inlineStr">
        <x:is>
          <x:t xml:space="preserve">Ökonomie</x:t>
        </x:is>
      </x:c>
      <x:c r="B128" s="15" t="n">
        <x:v>6</x:v>
      </x:c>
      <x:c r="C128" s="15" t="inlineStr">
        <x:is>
          <x:t xml:space="preserve">Staatliche Zahlungen, Abgaben und Bürokratie</x:t>
        </x:is>
      </x:c>
      <x:c r="D128" s="24" t="n">
        <x:v>2019</x:v>
      </x:c>
      <x:c r="E128" s="16">
        <x:v>98</x:v>
      </x:c>
      <x:c r="F128" s="16">
        <x:v>2800</x:v>
      </x:c>
      <x:c r="G128" s="25">
        <x:f>E128/F128</x:f>
        <x:v>0.035</x:v>
      </x:c>
      <x:c r="H128" s="16">
        <x:v>435</x:v>
      </x:c>
      <x:c r="I128" s="25">
        <x:f>E128/H128</x:f>
        <x:v>0.22528735632183908</x:v>
      </x:c>
    </x:row>
    <x:row r="129" ht="36" customHeight="1">
      <x:c r="A129" s="13" t="inlineStr">
        <x:is>
          <x:t xml:space="preserve">Ökonomie</x:t>
        </x:is>
      </x:c>
      <x:c r="B129" s="13" t="n">
        <x:v>6</x:v>
      </x:c>
      <x:c r="C129" s="13" t="inlineStr">
        <x:is>
          <x:t xml:space="preserve">Staatliche Zahlungen, Abgaben und Bürokratie</x:t>
        </x:is>
      </x:c>
      <x:c r="D129" s="21" t="n">
        <x:v>2020</x:v>
      </x:c>
      <x:c r="E129" s="14">
        <x:v>97</x:v>
      </x:c>
      <x:c r="F129" s="14">
        <x:v>3133</x:v>
      </x:c>
      <x:c r="G129" s="22">
        <x:f>E129/F129</x:f>
        <x:v>0.03096074050430897</x:v>
      </x:c>
      <x:c r="H129" s="14">
        <x:v>524</x:v>
      </x:c>
      <x:c r="I129" s="22">
        <x:f>E129/H129</x:f>
        <x:v>0.1851145038167939</x:v>
      </x:c>
    </x:row>
    <x:row r="130" ht="36" customHeight="1">
      <x:c r="A130" s="15" t="inlineStr">
        <x:is>
          <x:t xml:space="preserve">Ökonomie</x:t>
        </x:is>
      </x:c>
      <x:c r="B130" s="15" t="n">
        <x:v>6</x:v>
      </x:c>
      <x:c r="C130" s="15" t="inlineStr">
        <x:is>
          <x:t xml:space="preserve">Staatliche Zahlungen, Abgaben und Bürokratie</x:t>
        </x:is>
      </x:c>
      <x:c r="D130" s="24" t="n">
        <x:v>2021</x:v>
      </x:c>
      <x:c r="E130" s="16">
        <x:v>178</x:v>
      </x:c>
      <x:c r="F130" s="16">
        <x:v>2320</x:v>
      </x:c>
      <x:c r="G130" s="25">
        <x:f>E130/F130</x:f>
        <x:v>0.07672413793103448</x:v>
      </x:c>
      <x:c r="H130" s="16">
        <x:v>520</x:v>
      </x:c>
      <x:c r="I130" s="25">
        <x:f>E130/H130</x:f>
        <x:v>0.3423076923076923</x:v>
      </x:c>
    </x:row>
    <x:row r="131" ht="36" customHeight="1">
      <x:c r="A131" s="13" t="inlineStr">
        <x:is>
          <x:t xml:space="preserve">Ökonomie</x:t>
        </x:is>
      </x:c>
      <x:c r="B131" s="13" t="n">
        <x:v>6</x:v>
      </x:c>
      <x:c r="C131" s="13" t="inlineStr">
        <x:is>
          <x:t xml:space="preserve">Staatliche Zahlungen, Abgaben und Bürokratie</x:t>
        </x:is>
      </x:c>
      <x:c r="D131" s="21" t="n">
        <x:v>2022</x:v>
      </x:c>
      <x:c r="E131" s="14">
        <x:v>168</x:v>
      </x:c>
      <x:c r="F131" s="14">
        <x:v>4018</x:v>
      </x:c>
      <x:c r="G131" s="22">
        <x:f>E131/F131</x:f>
        <x:v>0.041811846689895474</x:v>
      </x:c>
      <x:c r="H131" s="14">
        <x:v>1173</x:v>
      </x:c>
      <x:c r="I131" s="22">
        <x:f>E131/H131</x:f>
        <x:v>0.1432225063938619</x:v>
      </x:c>
    </x:row>
    <x:row r="132" ht="36" customHeight="1">
      <x:c r="A132" s="15" t="inlineStr">
        <x:is>
          <x:t xml:space="preserve">Ökonomie</x:t>
        </x:is>
      </x:c>
      <x:c r="B132" s="15" t="n">
        <x:v>6</x:v>
      </x:c>
      <x:c r="C132" s="15" t="inlineStr">
        <x:is>
          <x:t xml:space="preserve">Staatliche Zahlungen, Abgaben und Bürokratie</x:t>
        </x:is>
      </x:c>
      <x:c r="D132" s="24" t="n">
        <x:v>2023</x:v>
      </x:c>
      <x:c r="E132" s="16">
        <x:v>96</x:v>
      </x:c>
      <x:c r="F132" s="16">
        <x:v>3417</x:v>
      </x:c>
      <x:c r="G132" s="25">
        <x:f>E132/F132</x:f>
        <x:v>0.028094820017559263</x:v>
      </x:c>
      <x:c r="H132" s="16">
        <x:v>748</x:v>
      </x:c>
      <x:c r="I132" s="25">
        <x:f>E132/H132</x:f>
        <x:v>0.12834224598930483</x:v>
      </x:c>
    </x:row>
    <x:row r="133" ht="36" customHeight="1">
      <x:c r="A133" s="13" t="inlineStr">
        <x:is>
          <x:t xml:space="preserve">Ökonomie</x:t>
        </x:is>
      </x:c>
      <x:c r="B133" s="13" t="n">
        <x:v>6</x:v>
      </x:c>
      <x:c r="C133" s="13" t="inlineStr">
        <x:is>
          <x:t xml:space="preserve">Staatliche Zahlungen, Abgaben und Bürokratie</x:t>
        </x:is>
      </x:c>
      <x:c r="D133" s="21" t="n">
        <x:v>2024</x:v>
      </x:c>
      <x:c r="E133" s="14">
        <x:v>395</x:v>
      </x:c>
      <x:c r="F133" s="14">
        <x:v>4026</x:v>
      </x:c>
      <x:c r="G133" s="22">
        <x:f>E133/F133</x:f>
        <x:v>0.09811227024341779</x:v>
      </x:c>
      <x:c r="H133" s="14">
        <x:v>1242</x:v>
      </x:c>
      <x:c r="I133" s="22">
        <x:f>E133/H133</x:f>
        <x:v>0.31803542673107893</x:v>
      </x:c>
    </x:row>
    <x:row r="134" ht="36" customHeight="1">
      <x:c r="A134" s="15" t="inlineStr">
        <x:is>
          <x:t xml:space="preserve">Ökonomie</x:t>
        </x:is>
      </x:c>
      <x:c r="B134" s="15" t="n">
        <x:v>6</x:v>
      </x:c>
      <x:c r="C134" s="15" t="inlineStr">
        <x:is>
          <x:t xml:space="preserve">Staatliche Zahlungen, Abgaben und Bürokratie</x:t>
        </x:is>
      </x:c>
      <x:c r="D134" s="24" t="n">
        <x:v>2025</x:v>
      </x:c>
      <x:c r="E134" s="16">
        <x:v>194</x:v>
      </x:c>
      <x:c r="F134" s="16">
        <x:v>2279</x:v>
      </x:c>
      <x:c r="G134" s="25">
        <x:f>E134/F134</x:f>
        <x:v>0.08512505484861782</x:v>
      </x:c>
      <x:c r="H134" s="16">
        <x:v>677</x:v>
      </x:c>
      <x:c r="I134" s="25">
        <x:f>E134/H134</x:f>
        <x:v>0.2865583456425406</x:v>
      </x:c>
    </x:row>
    <x:row r="135" ht="36" customHeight="1">
      <x:c r="A135" s="13" t="inlineStr">
        <x:is>
          <x:t xml:space="preserve">Ökonomie</x:t>
        </x:is>
      </x:c>
      <x:c r="B135" s="13" t="n">
        <x:v>7</x:v>
      </x:c>
      <x:c r="C135" s="13" t="inlineStr">
        <x:is>
          <x:t xml:space="preserve">Agrardiesel und Rückvergütung</x:t>
        </x:is>
      </x:c>
      <x:c r="D135" s="21" t="n">
        <x:v>2018</x:v>
      </x:c>
      <x:c r="E135" s="14">
        <x:v>0</x:v>
      </x:c>
      <x:c r="F135" s="14">
        <x:v>3254</x:v>
      </x:c>
      <x:c r="G135" s="22">
        <x:f>E135/F135</x:f>
        <x:v>0.0</x:v>
      </x:c>
      <x:c r="H135" s="14">
        <x:v>530</x:v>
      </x:c>
      <x:c r="I135" s="22">
        <x:f>E135/H135</x:f>
        <x:v>0.0</x:v>
      </x:c>
    </x:row>
    <x:row r="136" ht="36" customHeight="1">
      <x:c r="A136" s="15" t="inlineStr">
        <x:is>
          <x:t xml:space="preserve">Ökonomie</x:t>
        </x:is>
      </x:c>
      <x:c r="B136" s="15" t="n">
        <x:v>7</x:v>
      </x:c>
      <x:c r="C136" s="15" t="inlineStr">
        <x:is>
          <x:t xml:space="preserve">Agrardiesel und Rückvergütung</x:t>
        </x:is>
      </x:c>
      <x:c r="D136" s="24" t="n">
        <x:v>2019</x:v>
      </x:c>
      <x:c r="E136" s="16">
        <x:v>2</x:v>
      </x:c>
      <x:c r="F136" s="16">
        <x:v>2800</x:v>
      </x:c>
      <x:c r="G136" s="25">
        <x:f>E136/F136</x:f>
        <x:v>0.0007142857142857143</x:v>
      </x:c>
      <x:c r="H136" s="16">
        <x:v>435</x:v>
      </x:c>
      <x:c r="I136" s="25">
        <x:f>E136/H136</x:f>
        <x:v>0.004597701149425287</x:v>
      </x:c>
    </x:row>
    <x:row r="137" ht="36" customHeight="1">
      <x:c r="A137" s="13" t="inlineStr">
        <x:is>
          <x:t xml:space="preserve">Ökonomie</x:t>
        </x:is>
      </x:c>
      <x:c r="B137" s="13" t="n">
        <x:v>7</x:v>
      </x:c>
      <x:c r="C137" s="13" t="inlineStr">
        <x:is>
          <x:t xml:space="preserve">Agrardiesel und Rückvergütung</x:t>
        </x:is>
      </x:c>
      <x:c r="D137" s="21" t="n">
        <x:v>2020</x:v>
      </x:c>
      <x:c r="E137" s="14">
        <x:v>0</x:v>
      </x:c>
      <x:c r="F137" s="14">
        <x:v>3133</x:v>
      </x:c>
      <x:c r="G137" s="22">
        <x:f>E137/F137</x:f>
        <x:v>0.0</x:v>
      </x:c>
      <x:c r="H137" s="14">
        <x:v>524</x:v>
      </x:c>
      <x:c r="I137" s="22">
        <x:f>E137/H137</x:f>
        <x:v>0.0</x:v>
      </x:c>
    </x:row>
    <x:row r="138" ht="36" customHeight="1">
      <x:c r="A138" s="15" t="inlineStr">
        <x:is>
          <x:t xml:space="preserve">Ökonomie</x:t>
        </x:is>
      </x:c>
      <x:c r="B138" s="15" t="n">
        <x:v>7</x:v>
      </x:c>
      <x:c r="C138" s="15" t="inlineStr">
        <x:is>
          <x:t xml:space="preserve">Agrardiesel und Rückvergütung</x:t>
        </x:is>
      </x:c>
      <x:c r="D138" s="24" t="n">
        <x:v>2021</x:v>
      </x:c>
      <x:c r="E138" s="16">
        <x:v>3</x:v>
      </x:c>
      <x:c r="F138" s="16">
        <x:v>2320</x:v>
      </x:c>
      <x:c r="G138" s="25">
        <x:f>E138/F138</x:f>
        <x:v>0.001293103448275862</x:v>
      </x:c>
      <x:c r="H138" s="16">
        <x:v>520</x:v>
      </x:c>
      <x:c r="I138" s="25">
        <x:f>E138/H138</x:f>
        <x:v>0.0057692307692307696</x:v>
      </x:c>
    </x:row>
    <x:row r="139" ht="36" customHeight="1">
      <x:c r="A139" s="13" t="inlineStr">
        <x:is>
          <x:t xml:space="preserve">Ökonomie</x:t>
        </x:is>
      </x:c>
      <x:c r="B139" s="13" t="n">
        <x:v>7</x:v>
      </x:c>
      <x:c r="C139" s="13" t="inlineStr">
        <x:is>
          <x:t xml:space="preserve">Agrardiesel und Rückvergütung</x:t>
        </x:is>
      </x:c>
      <x:c r="D139" s="21" t="n">
        <x:v>2022</x:v>
      </x:c>
      <x:c r="E139" s="14">
        <x:v>10</x:v>
      </x:c>
      <x:c r="F139" s="14">
        <x:v>4018</x:v>
      </x:c>
      <x:c r="G139" s="22">
        <x:f>E139/F139</x:f>
        <x:v>0.0024888003982080635</x:v>
      </x:c>
      <x:c r="H139" s="14">
        <x:v>1173</x:v>
      </x:c>
      <x:c r="I139" s="22">
        <x:f>E139/H139</x:f>
        <x:v>0.008525149190110827</x:v>
      </x:c>
    </x:row>
    <x:row r="140" ht="36" customHeight="1">
      <x:c r="A140" s="15" t="inlineStr">
        <x:is>
          <x:t xml:space="preserve">Ökonomie</x:t>
        </x:is>
      </x:c>
      <x:c r="B140" s="15" t="n">
        <x:v>7</x:v>
      </x:c>
      <x:c r="C140" s="15" t="inlineStr">
        <x:is>
          <x:t xml:space="preserve">Agrardiesel und Rückvergütung</x:t>
        </x:is>
      </x:c>
      <x:c r="D140" s="24" t="n">
        <x:v>2023</x:v>
      </x:c>
      <x:c r="E140" s="16">
        <x:v>15</x:v>
      </x:c>
      <x:c r="F140" s="16">
        <x:v>3417</x:v>
      </x:c>
      <x:c r="G140" s="25">
        <x:f>E140/F140</x:f>
        <x:v>0.004389815627743635</x:v>
      </x:c>
      <x:c r="H140" s="16">
        <x:v>748</x:v>
      </x:c>
      <x:c r="I140" s="25">
        <x:f>E140/H140</x:f>
        <x:v>0.020053475935828877</x:v>
      </x:c>
    </x:row>
    <x:row r="141" ht="36" customHeight="1">
      <x:c r="A141" s="13" t="inlineStr">
        <x:is>
          <x:t xml:space="preserve">Ökonomie</x:t>
        </x:is>
      </x:c>
      <x:c r="B141" s="13" t="n">
        <x:v>7</x:v>
      </x:c>
      <x:c r="C141" s="13" t="inlineStr">
        <x:is>
          <x:t xml:space="preserve">Agrardiesel und Rückvergütung</x:t>
        </x:is>
      </x:c>
      <x:c r="D141" s="21" t="n">
        <x:v>2024</x:v>
      </x:c>
      <x:c r="E141" s="14">
        <x:v>348</x:v>
      </x:c>
      <x:c r="F141" s="14">
        <x:v>4026</x:v>
      </x:c>
      <x:c r="G141" s="22">
        <x:f>E141/F141</x:f>
        <x:v>0.08643815201192251</x:v>
      </x:c>
      <x:c r="H141" s="14">
        <x:v>1242</x:v>
      </x:c>
      <x:c r="I141" s="22">
        <x:f>E141/H141</x:f>
        <x:v>0.28019323671497587</x:v>
      </x:c>
    </x:row>
    <x:row r="142" ht="36" customHeight="1">
      <x:c r="A142" s="15" t="inlineStr">
        <x:is>
          <x:t xml:space="preserve">Ökonomie</x:t>
        </x:is>
      </x:c>
      <x:c r="B142" s="15" t="n">
        <x:v>7</x:v>
      </x:c>
      <x:c r="C142" s="15" t="inlineStr">
        <x:is>
          <x:t xml:space="preserve">Agrardiesel und Rückvergütung</x:t>
        </x:is>
      </x:c>
      <x:c r="D142" s="24" t="n">
        <x:v>2025</x:v>
      </x:c>
      <x:c r="E142" s="16">
        <x:v>107</x:v>
      </x:c>
      <x:c r="F142" s="16">
        <x:v>2279</x:v>
      </x:c>
      <x:c r="G142" s="25">
        <x:f>E142/F142</x:f>
        <x:v>0.04695041684949539</x:v>
      </x:c>
      <x:c r="H142" s="16">
        <x:v>677</x:v>
      </x:c>
      <x:c r="I142" s="25">
        <x:f>E142/H142</x:f>
        <x:v>0.15805022156573117</x:v>
      </x:c>
    </x:row>
    <x:row r="143" ht="36" customHeight="1">
      <x:c r="A143" s="13" t="inlineStr">
        <x:is>
          <x:t xml:space="preserve">S&amp;R</x:t>
        </x:is>
      </x:c>
      <x:c r="B143" s="13" t="n">
        <x:v>1</x:v>
      </x:c>
      <x:c r="C143" s="13" t="inlineStr">
        <x:is>
          <x:t xml:space="preserve">Ernährungssicherheit und Ernährungssicherung</x:t>
        </x:is>
      </x:c>
      <x:c r="D143" s="21" t="n">
        <x:v>2018</x:v>
      </x:c>
      <x:c r="E143" s="14">
        <x:v>16</x:v>
      </x:c>
      <x:c r="F143" s="14">
        <x:v>3254</x:v>
      </x:c>
      <x:c r="G143" s="22">
        <x:f>E143/F143</x:f>
        <x:v>0.004917025199754148</x:v>
      </x:c>
      <x:c r="H143" s="14">
        <x:v>41</x:v>
      </x:c>
      <x:c r="I143" s="22">
        <x:f>E143/H143</x:f>
        <x:v>0.3902439024390244</x:v>
      </x:c>
    </x:row>
    <x:row r="144" ht="36" customHeight="1">
      <x:c r="A144" s="15" t="inlineStr">
        <x:is>
          <x:t xml:space="preserve">S&amp;R</x:t>
        </x:is>
      </x:c>
      <x:c r="B144" s="15" t="n">
        <x:v>1</x:v>
      </x:c>
      <x:c r="C144" s="15" t="inlineStr">
        <x:is>
          <x:t xml:space="preserve">Ernährungssicherheit und Ernährungssicherung</x:t>
        </x:is>
      </x:c>
      <x:c r="D144" s="24" t="n">
        <x:v>2019</x:v>
      </x:c>
      <x:c r="E144" s="16">
        <x:v>15</x:v>
      </x:c>
      <x:c r="F144" s="16">
        <x:v>2800</x:v>
      </x:c>
      <x:c r="G144" s="25">
        <x:f>E144/F144</x:f>
        <x:v>0.005357142857142857</x:v>
      </x:c>
      <x:c r="H144" s="16">
        <x:v>52</x:v>
      </x:c>
      <x:c r="I144" s="25">
        <x:f>E144/H144</x:f>
        <x:v>0.28846153846153844</x:v>
      </x:c>
    </x:row>
    <x:row r="145" ht="36" customHeight="1">
      <x:c r="A145" s="13" t="inlineStr">
        <x:is>
          <x:t xml:space="preserve">S&amp;R</x:t>
        </x:is>
      </x:c>
      <x:c r="B145" s="13" t="n">
        <x:v>1</x:v>
      </x:c>
      <x:c r="C145" s="13" t="inlineStr">
        <x:is>
          <x:t xml:space="preserve">Ernährungssicherheit und Ernährungssicherung</x:t>
        </x:is>
      </x:c>
      <x:c r="D145" s="21" t="n">
        <x:v>2020</x:v>
      </x:c>
      <x:c r="E145" s="14">
        <x:v>24</x:v>
      </x:c>
      <x:c r="F145" s="14">
        <x:v>3133</x:v>
      </x:c>
      <x:c r="G145" s="22">
        <x:f>E145/F145</x:f>
        <x:v>0.007660389403127992</x:v>
      </x:c>
      <x:c r="H145" s="14">
        <x:v>79</x:v>
      </x:c>
      <x:c r="I145" s="22">
        <x:f>E145/H145</x:f>
        <x:v>0.3037974683544304</x:v>
      </x:c>
    </x:row>
    <x:row r="146" ht="36" customHeight="1">
      <x:c r="A146" s="15" t="inlineStr">
        <x:is>
          <x:t xml:space="preserve">S&amp;R</x:t>
        </x:is>
      </x:c>
      <x:c r="B146" s="15" t="n">
        <x:v>1</x:v>
      </x:c>
      <x:c r="C146" s="15" t="inlineStr">
        <x:is>
          <x:t xml:space="preserve">Ernährungssicherheit und Ernährungssicherung</x:t>
        </x:is>
      </x:c>
      <x:c r="D146" s="24" t="n">
        <x:v>2021</x:v>
      </x:c>
      <x:c r="E146" s="16">
        <x:v>23</x:v>
      </x:c>
      <x:c r="F146" s="16">
        <x:v>2320</x:v>
      </x:c>
      <x:c r="G146" s="25">
        <x:f>E146/F146</x:f>
        <x:v>0.009913793103448277</x:v>
      </x:c>
      <x:c r="H146" s="16">
        <x:v>59</x:v>
      </x:c>
      <x:c r="I146" s="25">
        <x:f>E146/H146</x:f>
        <x:v>0.3898305084745763</x:v>
      </x:c>
    </x:row>
    <x:row r="147" ht="36" customHeight="1">
      <x:c r="A147" s="13" t="inlineStr">
        <x:is>
          <x:t xml:space="preserve">S&amp;R</x:t>
        </x:is>
      </x:c>
      <x:c r="B147" s="13" t="n">
        <x:v>1</x:v>
      </x:c>
      <x:c r="C147" s="13" t="inlineStr">
        <x:is>
          <x:t xml:space="preserve">Ernährungssicherheit und Ernährungssicherung</x:t>
        </x:is>
      </x:c>
      <x:c r="D147" s="21" t="n">
        <x:v>2022</x:v>
      </x:c>
      <x:c r="E147" s="14">
        <x:v>167</x:v>
      </x:c>
      <x:c r="F147" s="14">
        <x:v>4018</x:v>
      </x:c>
      <x:c r="G147" s="22">
        <x:f>E147/F147</x:f>
        <x:v>0.04156296665007466</x:v>
      </x:c>
      <x:c r="H147" s="14">
        <x:v>403</x:v>
      </x:c>
      <x:c r="I147" s="22">
        <x:f>E147/H147</x:f>
        <x:v>0.4143920595533499</x:v>
      </x:c>
    </x:row>
    <x:row r="148" ht="36" customHeight="1">
      <x:c r="A148" s="15" t="inlineStr">
        <x:is>
          <x:t xml:space="preserve">S&amp;R</x:t>
        </x:is>
      </x:c>
      <x:c r="B148" s="15" t="n">
        <x:v>1</x:v>
      </x:c>
      <x:c r="C148" s="15" t="inlineStr">
        <x:is>
          <x:t xml:space="preserve">Ernährungssicherheit und Ernährungssicherung</x:t>
        </x:is>
      </x:c>
      <x:c r="D148" s="24" t="n">
        <x:v>2023</x:v>
      </x:c>
      <x:c r="E148" s="16">
        <x:v>94</x:v>
      </x:c>
      <x:c r="F148" s="16">
        <x:v>3417</x:v>
      </x:c>
      <x:c r="G148" s="25">
        <x:f>E148/F148</x:f>
        <x:v>0.027509511267193445</x:v>
      </x:c>
      <x:c r="H148" s="16">
        <x:v>217</x:v>
      </x:c>
      <x:c r="I148" s="25">
        <x:f>E148/H148</x:f>
        <x:v>0.43317972350230416</x:v>
      </x:c>
    </x:row>
    <x:row r="149" ht="36" customHeight="1">
      <x:c r="A149" s="13" t="inlineStr">
        <x:is>
          <x:t xml:space="preserve">S&amp;R</x:t>
        </x:is>
      </x:c>
      <x:c r="B149" s="13" t="n">
        <x:v>1</x:v>
      </x:c>
      <x:c r="C149" s="13" t="inlineStr">
        <x:is>
          <x:t xml:space="preserve">Ernährungssicherheit und Ernährungssicherung</x:t>
        </x:is>
      </x:c>
      <x:c r="D149" s="21" t="n">
        <x:v>2024</x:v>
      </x:c>
      <x:c r="E149" s="14">
        <x:v>46</x:v>
      </x:c>
      <x:c r="F149" s="14">
        <x:v>4026</x:v>
      </x:c>
      <x:c r="G149" s="22">
        <x:f>E149/F149</x:f>
        <x:v>0.011425732737208148</x:v>
      </x:c>
      <x:c r="H149" s="14">
        <x:v>95</x:v>
      </x:c>
      <x:c r="I149" s="22">
        <x:f>E149/H149</x:f>
        <x:v>0.4842105263157895</x:v>
      </x:c>
    </x:row>
    <x:row r="150" ht="36" customHeight="1">
      <x:c r="A150" s="15" t="inlineStr">
        <x:is>
          <x:t xml:space="preserve">S&amp;R</x:t>
        </x:is>
      </x:c>
      <x:c r="B150" s="15" t="n">
        <x:v>1</x:v>
      </x:c>
      <x:c r="C150" s="15" t="inlineStr">
        <x:is>
          <x:t xml:space="preserve">Ernährungssicherheit und Ernährungssicherung</x:t>
        </x:is>
      </x:c>
      <x:c r="D150" s="24" t="n">
        <x:v>2025</x:v>
      </x:c>
      <x:c r="E150" s="16">
        <x:v>46</x:v>
      </x:c>
      <x:c r="F150" s="16">
        <x:v>2279</x:v>
      </x:c>
      <x:c r="G150" s="25">
        <x:f>E150/F150</x:f>
        <x:v>0.020184291355857833</x:v>
      </x:c>
      <x:c r="H150" s="16">
        <x:v>102</x:v>
      </x:c>
      <x:c r="I150" s="25">
        <x:f>E150/H150</x:f>
        <x:v>0.45098039215686275</x:v>
      </x:c>
    </x:row>
    <x:row r="151" ht="36" customHeight="1">
      <x:c r="A151" s="13" t="inlineStr">
        <x:is>
          <x:t xml:space="preserve">S&amp;R</x:t>
        </x:is>
      </x:c>
      <x:c r="B151" s="13" t="n">
        <x:v>2</x:v>
      </x:c>
      <x:c r="C151" s="13" t="inlineStr">
        <x:is>
          <x:t xml:space="preserve">Versorgung, Versorgungssicherung und Vorsorge</x:t>
        </x:is>
      </x:c>
      <x:c r="D151" s="21" t="n">
        <x:v>2018</x:v>
      </x:c>
      <x:c r="E151" s="14">
        <x:v>12</x:v>
      </x:c>
      <x:c r="F151" s="14">
        <x:v>3254</x:v>
      </x:c>
      <x:c r="G151" s="22">
        <x:f>E151/F151</x:f>
        <x:v>0.0036877688998156115</x:v>
      </x:c>
      <x:c r="H151" s="14">
        <x:v>41</x:v>
      </x:c>
      <x:c r="I151" s="22">
        <x:f>E151/H151</x:f>
        <x:v>0.2926829268292683</x:v>
      </x:c>
    </x:row>
    <x:row r="152" ht="36" customHeight="1">
      <x:c r="A152" s="15" t="inlineStr">
        <x:is>
          <x:t xml:space="preserve">S&amp;R</x:t>
        </x:is>
      </x:c>
      <x:c r="B152" s="15" t="n">
        <x:v>2</x:v>
      </x:c>
      <x:c r="C152" s="15" t="inlineStr">
        <x:is>
          <x:t xml:space="preserve">Versorgung, Versorgungssicherung und Vorsorge</x:t>
        </x:is>
      </x:c>
      <x:c r="D152" s="24" t="n">
        <x:v>2019</x:v>
      </x:c>
      <x:c r="E152" s="16">
        <x:v>25</x:v>
      </x:c>
      <x:c r="F152" s="16">
        <x:v>2800</x:v>
      </x:c>
      <x:c r="G152" s="25">
        <x:f>E152/F152</x:f>
        <x:v>0.008928571428571428</x:v>
      </x:c>
      <x:c r="H152" s="16">
        <x:v>52</x:v>
      </x:c>
      <x:c r="I152" s="25">
        <x:f>E152/H152</x:f>
        <x:v>0.4807692307692308</x:v>
      </x:c>
    </x:row>
    <x:row r="153" ht="36" customHeight="1">
      <x:c r="A153" s="13" t="inlineStr">
        <x:is>
          <x:t xml:space="preserve">S&amp;R</x:t>
        </x:is>
      </x:c>
      <x:c r="B153" s="13" t="n">
        <x:v>2</x:v>
      </x:c>
      <x:c r="C153" s="13" t="inlineStr">
        <x:is>
          <x:t xml:space="preserve">Versorgung, Versorgungssicherung und Vorsorge</x:t>
        </x:is>
      </x:c>
      <x:c r="D153" s="21" t="n">
        <x:v>2020</x:v>
      </x:c>
      <x:c r="E153" s="14">
        <x:v>27</x:v>
      </x:c>
      <x:c r="F153" s="14">
        <x:v>3133</x:v>
      </x:c>
      <x:c r="G153" s="22">
        <x:f>E153/F153</x:f>
        <x:v>0.008617938078518992</x:v>
      </x:c>
      <x:c r="H153" s="14">
        <x:v>79</x:v>
      </x:c>
      <x:c r="I153" s="22">
        <x:f>E153/H153</x:f>
        <x:v>0.34177215189873417</x:v>
      </x:c>
    </x:row>
    <x:row r="154" ht="36" customHeight="1">
      <x:c r="A154" s="15" t="inlineStr">
        <x:is>
          <x:t xml:space="preserve">S&amp;R</x:t>
        </x:is>
      </x:c>
      <x:c r="B154" s="15" t="n">
        <x:v>2</x:v>
      </x:c>
      <x:c r="C154" s="15" t="inlineStr">
        <x:is>
          <x:t xml:space="preserve">Versorgung, Versorgungssicherung und Vorsorge</x:t>
        </x:is>
      </x:c>
      <x:c r="D154" s="24" t="n">
        <x:v>2021</x:v>
      </x:c>
      <x:c r="E154" s="16">
        <x:v>14</x:v>
      </x:c>
      <x:c r="F154" s="16">
        <x:v>2320</x:v>
      </x:c>
      <x:c r="G154" s="25">
        <x:f>E154/F154</x:f>
        <x:v>0.00603448275862069</x:v>
      </x:c>
      <x:c r="H154" s="16">
        <x:v>59</x:v>
      </x:c>
      <x:c r="I154" s="25">
        <x:f>E154/H154</x:f>
        <x:v>0.23728813559322035</x:v>
      </x:c>
    </x:row>
    <x:row r="155" ht="36" customHeight="1">
      <x:c r="A155" s="13" t="inlineStr">
        <x:is>
          <x:t xml:space="preserve">S&amp;R</x:t>
        </x:is>
      </x:c>
      <x:c r="B155" s="13" t="n">
        <x:v>2</x:v>
      </x:c>
      <x:c r="C155" s="13" t="inlineStr">
        <x:is>
          <x:t xml:space="preserve">Versorgung, Versorgungssicherung und Vorsorge</x:t>
        </x:is>
      </x:c>
      <x:c r="D155" s="21" t="n">
        <x:v>2022</x:v>
      </x:c>
      <x:c r="E155" s="14">
        <x:v>103</x:v>
      </x:c>
      <x:c r="F155" s="14">
        <x:v>4018</x:v>
      </x:c>
      <x:c r="G155" s="22">
        <x:f>E155/F155</x:f>
        <x:v>0.025634644101543057</x:v>
      </x:c>
      <x:c r="H155" s="14">
        <x:v>403</x:v>
      </x:c>
      <x:c r="I155" s="22">
        <x:f>E155/H155</x:f>
        <x:v>0.2555831265508685</x:v>
      </x:c>
    </x:row>
    <x:row r="156" ht="36" customHeight="1">
      <x:c r="A156" s="15" t="inlineStr">
        <x:is>
          <x:t xml:space="preserve">S&amp;R</x:t>
        </x:is>
      </x:c>
      <x:c r="B156" s="15" t="n">
        <x:v>2</x:v>
      </x:c>
      <x:c r="C156" s="15" t="inlineStr">
        <x:is>
          <x:t xml:space="preserve">Versorgung, Versorgungssicherung und Vorsorge</x:t>
        </x:is>
      </x:c>
      <x:c r="D156" s="24" t="n">
        <x:v>2023</x:v>
      </x:c>
      <x:c r="E156" s="16">
        <x:v>57</x:v>
      </x:c>
      <x:c r="F156" s="16">
        <x:v>3417</x:v>
      </x:c>
      <x:c r="G156" s="25">
        <x:f>E156/F156</x:f>
        <x:v>0.016681299385425813</x:v>
      </x:c>
      <x:c r="H156" s="16">
        <x:v>217</x:v>
      </x:c>
      <x:c r="I156" s="25">
        <x:f>E156/H156</x:f>
        <x:v>0.2626728110599078</x:v>
      </x:c>
    </x:row>
    <x:row r="157" ht="36" customHeight="1">
      <x:c r="A157" s="13" t="inlineStr">
        <x:is>
          <x:t xml:space="preserve">S&amp;R</x:t>
        </x:is>
      </x:c>
      <x:c r="B157" s="13" t="n">
        <x:v>2</x:v>
      </x:c>
      <x:c r="C157" s="13" t="inlineStr">
        <x:is>
          <x:t xml:space="preserve">Versorgung, Versorgungssicherung und Vorsorge</x:t>
        </x:is>
      </x:c>
      <x:c r="D157" s="21" t="n">
        <x:v>2024</x:v>
      </x:c>
      <x:c r="E157" s="14">
        <x:v>20</x:v>
      </x:c>
      <x:c r="F157" s="14">
        <x:v>4026</x:v>
      </x:c>
      <x:c r="G157" s="22">
        <x:f>E157/F157</x:f>
        <x:v>0.004967709885742673</x:v>
      </x:c>
      <x:c r="H157" s="14">
        <x:v>95</x:v>
      </x:c>
      <x:c r="I157" s="22">
        <x:f>E157/H157</x:f>
        <x:v>0.21052631578947367</x:v>
      </x:c>
    </x:row>
    <x:row r="158" ht="36" customHeight="1">
      <x:c r="A158" s="15" t="inlineStr">
        <x:is>
          <x:t xml:space="preserve">S&amp;R</x:t>
        </x:is>
      </x:c>
      <x:c r="B158" s="15" t="n">
        <x:v>2</x:v>
      </x:c>
      <x:c r="C158" s="15" t="inlineStr">
        <x:is>
          <x:t xml:space="preserve">Versorgung, Versorgungssicherung und Vorsorge</x:t>
        </x:is>
      </x:c>
      <x:c r="D158" s="24" t="n">
        <x:v>2025</x:v>
      </x:c>
      <x:c r="E158" s="16">
        <x:v>29</x:v>
      </x:c>
      <x:c r="F158" s="16">
        <x:v>2279</x:v>
      </x:c>
      <x:c r="G158" s="25">
        <x:f>E158/F158</x:f>
        <x:v>0.012724879333040808</x:v>
      </x:c>
      <x:c r="H158" s="16">
        <x:v>102</x:v>
      </x:c>
      <x:c r="I158" s="25">
        <x:f>E158/H158</x:f>
        <x:v>0.28431372549019607</x:v>
      </x:c>
    </x:row>
    <x:row r="159" ht="36" customHeight="1">
      <x:c r="A159" s="13" t="inlineStr">
        <x:is>
          <x:t xml:space="preserve">S&amp;R</x:t>
        </x:is>
      </x:c>
      <x:c r="B159" s="13" t="n">
        <x:v>3</x:v>
      </x:c>
      <x:c r="C159" s="13" t="inlineStr">
        <x:is>
          <x:t xml:space="preserve">Krisen, Mangel, Knappheit und Engpässe</x:t>
        </x:is>
      </x:c>
      <x:c r="D159" s="21" t="n">
        <x:v>2018</x:v>
      </x:c>
      <x:c r="E159" s="14">
        <x:v>5</x:v>
      </x:c>
      <x:c r="F159" s="14">
        <x:v>3254</x:v>
      </x:c>
      <x:c r="G159" s="22">
        <x:f>E159/F159</x:f>
        <x:v>0.0015365703749231714</x:v>
      </x:c>
      <x:c r="H159" s="14">
        <x:v>41</x:v>
      </x:c>
      <x:c r="I159" s="22">
        <x:f>E159/H159</x:f>
        <x:v>0.12195121951219512</x:v>
      </x:c>
    </x:row>
    <x:row r="160" ht="36" customHeight="1">
      <x:c r="A160" s="15" t="inlineStr">
        <x:is>
          <x:t xml:space="preserve">S&amp;R</x:t>
        </x:is>
      </x:c>
      <x:c r="B160" s="15" t="n">
        <x:v>3</x:v>
      </x:c>
      <x:c r="C160" s="15" t="inlineStr">
        <x:is>
          <x:t xml:space="preserve">Krisen, Mangel, Knappheit und Engpässe</x:t>
        </x:is>
      </x:c>
      <x:c r="D160" s="24" t="n">
        <x:v>2019</x:v>
      </x:c>
      <x:c r="E160" s="16">
        <x:v>2</x:v>
      </x:c>
      <x:c r="F160" s="16">
        <x:v>2800</x:v>
      </x:c>
      <x:c r="G160" s="25">
        <x:f>E160/F160</x:f>
        <x:v>0.0007142857142857143</x:v>
      </x:c>
      <x:c r="H160" s="16">
        <x:v>52</x:v>
      </x:c>
      <x:c r="I160" s="25">
        <x:f>E160/H160</x:f>
        <x:v>0.038461538461538464</x:v>
      </x:c>
    </x:row>
    <x:row r="161" ht="36" customHeight="1">
      <x:c r="A161" s="13" t="inlineStr">
        <x:is>
          <x:t xml:space="preserve">S&amp;R</x:t>
        </x:is>
      </x:c>
      <x:c r="B161" s="13" t="n">
        <x:v>3</x:v>
      </x:c>
      <x:c r="C161" s="13" t="inlineStr">
        <x:is>
          <x:t xml:space="preserve">Krisen, Mangel, Knappheit und Engpässe</x:t>
        </x:is>
      </x:c>
      <x:c r="D161" s="21" t="n">
        <x:v>2020</x:v>
      </x:c>
      <x:c r="E161" s="14">
        <x:v>11</x:v>
      </x:c>
      <x:c r="F161" s="14">
        <x:v>3133</x:v>
      </x:c>
      <x:c r="G161" s="22">
        <x:f>E161/F161</x:f>
        <x:v>0.0035110118097669966</x:v>
      </x:c>
      <x:c r="H161" s="14">
        <x:v>79</x:v>
      </x:c>
      <x:c r="I161" s="22">
        <x:f>E161/H161</x:f>
        <x:v>0.13924050632911392</x:v>
      </x:c>
    </x:row>
    <x:row r="162" ht="36" customHeight="1">
      <x:c r="A162" s="15" t="inlineStr">
        <x:is>
          <x:t xml:space="preserve">S&amp;R</x:t>
        </x:is>
      </x:c>
      <x:c r="B162" s="15" t="n">
        <x:v>3</x:v>
      </x:c>
      <x:c r="C162" s="15" t="inlineStr">
        <x:is>
          <x:t xml:space="preserve">Krisen, Mangel, Knappheit und Engpässe</x:t>
        </x:is>
      </x:c>
      <x:c r="D162" s="24" t="n">
        <x:v>2021</x:v>
      </x:c>
      <x:c r="E162" s="16">
        <x:v>4</x:v>
      </x:c>
      <x:c r="F162" s="16">
        <x:v>2320</x:v>
      </x:c>
      <x:c r="G162" s="25">
        <x:f>E162/F162</x:f>
        <x:v>0.0017241379310344827</x:v>
      </x:c>
      <x:c r="H162" s="16">
        <x:v>59</x:v>
      </x:c>
      <x:c r="I162" s="25">
        <x:f>E162/H162</x:f>
        <x:v>0.06779661016949153</x:v>
      </x:c>
    </x:row>
    <x:row r="163" ht="36" customHeight="1">
      <x:c r="A163" s="13" t="inlineStr">
        <x:is>
          <x:t xml:space="preserve">S&amp;R</x:t>
        </x:is>
      </x:c>
      <x:c r="B163" s="13" t="n">
        <x:v>3</x:v>
      </x:c>
      <x:c r="C163" s="13" t="inlineStr">
        <x:is>
          <x:t xml:space="preserve">Krisen, Mangel, Knappheit und Engpässe</x:t>
        </x:is>
      </x:c>
      <x:c r="D163" s="21" t="n">
        <x:v>2022</x:v>
      </x:c>
      <x:c r="E163" s="14">
        <x:v>76</x:v>
      </x:c>
      <x:c r="F163" s="14">
        <x:v>4018</x:v>
      </x:c>
      <x:c r="G163" s="22">
        <x:f>E163/F163</x:f>
        <x:v>0.018914883026381283</x:v>
      </x:c>
      <x:c r="H163" s="14">
        <x:v>403</x:v>
      </x:c>
      <x:c r="I163" s="22">
        <x:f>E163/H163</x:f>
        <x:v>0.18858560794044665</x:v>
      </x:c>
    </x:row>
    <x:row r="164" ht="36" customHeight="1">
      <x:c r="A164" s="15" t="inlineStr">
        <x:is>
          <x:t xml:space="preserve">S&amp;R</x:t>
        </x:is>
      </x:c>
      <x:c r="B164" s="15" t="n">
        <x:v>3</x:v>
      </x:c>
      <x:c r="C164" s="15" t="inlineStr">
        <x:is>
          <x:t xml:space="preserve">Krisen, Mangel, Knappheit und Engpässe</x:t>
        </x:is>
      </x:c>
      <x:c r="D164" s="24" t="n">
        <x:v>2023</x:v>
      </x:c>
      <x:c r="E164" s="16">
        <x:v>24</x:v>
      </x:c>
      <x:c r="F164" s="16">
        <x:v>3417</x:v>
      </x:c>
      <x:c r="G164" s="25">
        <x:f>E164/F164</x:f>
        <x:v>0.007023705004389816</x:v>
      </x:c>
      <x:c r="H164" s="16">
        <x:v>217</x:v>
      </x:c>
      <x:c r="I164" s="25">
        <x:f>E164/H164</x:f>
        <x:v>0.11059907834101383</x:v>
      </x:c>
    </x:row>
    <x:row r="165" ht="36" customHeight="1">
      <x:c r="A165" s="13" t="inlineStr">
        <x:is>
          <x:t xml:space="preserve">S&amp;R</x:t>
        </x:is>
      </x:c>
      <x:c r="B165" s="13" t="n">
        <x:v>3</x:v>
      </x:c>
      <x:c r="C165" s="13" t="inlineStr">
        <x:is>
          <x:t xml:space="preserve">Krisen, Mangel, Knappheit und Engpässe</x:t>
        </x:is>
      </x:c>
      <x:c r="D165" s="21" t="n">
        <x:v>2024</x:v>
      </x:c>
      <x:c r="E165" s="14">
        <x:v>7</x:v>
      </x:c>
      <x:c r="F165" s="14">
        <x:v>4026</x:v>
      </x:c>
      <x:c r="G165" s="22">
        <x:f>E165/F165</x:f>
        <x:v>0.0017386984600099354</x:v>
      </x:c>
      <x:c r="H165" s="14">
        <x:v>95</x:v>
      </x:c>
      <x:c r="I165" s="22">
        <x:f>E165/H165</x:f>
        <x:v>0.07368421052631578</x:v>
      </x:c>
    </x:row>
    <x:row r="166" ht="36" customHeight="1">
      <x:c r="A166" s="15" t="inlineStr">
        <x:is>
          <x:t xml:space="preserve">S&amp;R</x:t>
        </x:is>
      </x:c>
      <x:c r="B166" s="15" t="n">
        <x:v>3</x:v>
      </x:c>
      <x:c r="C166" s="15" t="inlineStr">
        <x:is>
          <x:t xml:space="preserve">Krisen, Mangel, Knappheit und Engpässe</x:t>
        </x:is>
      </x:c>
      <x:c r="D166" s="24" t="n">
        <x:v>2025</x:v>
      </x:c>
      <x:c r="E166" s="16">
        <x:v>5</x:v>
      </x:c>
      <x:c r="F166" s="16">
        <x:v>2279</x:v>
      </x:c>
      <x:c r="G166" s="25">
        <x:f>E166/F166</x:f>
        <x:v>0.002193944712593243</x:v>
      </x:c>
      <x:c r="H166" s="16">
        <x:v>102</x:v>
      </x:c>
      <x:c r="I166" s="25">
        <x:f>E166/H166</x:f>
        <x:v>0.049019607843137254</x:v>
      </x:c>
    </x:row>
    <x:row r="167" ht="36" customHeight="1">
      <x:c r="A167" s="13" t="inlineStr">
        <x:is>
          <x:t xml:space="preserve">S&amp;R</x:t>
        </x:is>
      </x:c>
      <x:c r="B167" s="13" t="n">
        <x:v>4</x:v>
      </x:c>
      <x:c r="C167" s="13" t="inlineStr">
        <x:is>
          <x:t xml:space="preserve">Selbstversorgung, Souveränität und Importabhängigkeit</x:t>
        </x:is>
      </x:c>
      <x:c r="D167" s="21" t="n">
        <x:v>2018</x:v>
      </x:c>
      <x:c r="E167" s="14">
        <x:v>5</x:v>
      </x:c>
      <x:c r="F167" s="14">
        <x:v>3254</x:v>
      </x:c>
      <x:c r="G167" s="22">
        <x:f>E167/F167</x:f>
        <x:v>0.0015365703749231714</x:v>
      </x:c>
      <x:c r="H167" s="14">
        <x:v>41</x:v>
      </x:c>
      <x:c r="I167" s="22">
        <x:f>E167/H167</x:f>
        <x:v>0.12195121951219512</x:v>
      </x:c>
    </x:row>
    <x:row r="168" ht="36" customHeight="1">
      <x:c r="A168" s="15" t="inlineStr">
        <x:is>
          <x:t xml:space="preserve">S&amp;R</x:t>
        </x:is>
      </x:c>
      <x:c r="B168" s="15" t="n">
        <x:v>4</x:v>
      </x:c>
      <x:c r="C168" s="15" t="inlineStr">
        <x:is>
          <x:t xml:space="preserve">Selbstversorgung, Souveränität und Importabhängigkeit</x:t>
        </x:is>
      </x:c>
      <x:c r="D168" s="24" t="n">
        <x:v>2019</x:v>
      </x:c>
      <x:c r="E168" s="16">
        <x:v>5</x:v>
      </x:c>
      <x:c r="F168" s="16">
        <x:v>2800</x:v>
      </x:c>
      <x:c r="G168" s="25">
        <x:f>E168/F168</x:f>
        <x:v>0.0017857142857142857</x:v>
      </x:c>
      <x:c r="H168" s="16">
        <x:v>52</x:v>
      </x:c>
      <x:c r="I168" s="25">
        <x:f>E168/H168</x:f>
        <x:v>0.09615384615384616</x:v>
      </x:c>
    </x:row>
    <x:row r="169" ht="36" customHeight="1">
      <x:c r="A169" s="13" t="inlineStr">
        <x:is>
          <x:t xml:space="preserve">S&amp;R</x:t>
        </x:is>
      </x:c>
      <x:c r="B169" s="13" t="n">
        <x:v>4</x:v>
      </x:c>
      <x:c r="C169" s="13" t="inlineStr">
        <x:is>
          <x:t xml:space="preserve">Selbstversorgung, Souveränität und Importabhängigkeit</x:t>
        </x:is>
      </x:c>
      <x:c r="D169" s="21" t="n">
        <x:v>2020</x:v>
      </x:c>
      <x:c r="E169" s="14">
        <x:v>6</x:v>
      </x:c>
      <x:c r="F169" s="14">
        <x:v>3133</x:v>
      </x:c>
      <x:c r="G169" s="22">
        <x:f>E169/F169</x:f>
        <x:v>0.001915097350781998</x:v>
      </x:c>
      <x:c r="H169" s="14">
        <x:v>79</x:v>
      </x:c>
      <x:c r="I169" s="22">
        <x:f>E169/H169</x:f>
        <x:v>0.0759493670886076</x:v>
      </x:c>
    </x:row>
    <x:row r="170" ht="36" customHeight="1">
      <x:c r="A170" s="15" t="inlineStr">
        <x:is>
          <x:t xml:space="preserve">S&amp;R</x:t>
        </x:is>
      </x:c>
      <x:c r="B170" s="15" t="n">
        <x:v>4</x:v>
      </x:c>
      <x:c r="C170" s="15" t="inlineStr">
        <x:is>
          <x:t xml:space="preserve">Selbstversorgung, Souveränität und Importabhängigkeit</x:t>
        </x:is>
      </x:c>
      <x:c r="D170" s="24" t="n">
        <x:v>2021</x:v>
      </x:c>
      <x:c r="E170" s="16">
        <x:v>11</x:v>
      </x:c>
      <x:c r="F170" s="16">
        <x:v>2320</x:v>
      </x:c>
      <x:c r="G170" s="25">
        <x:f>E170/F170</x:f>
        <x:v>0.0047413793103448275</x:v>
      </x:c>
      <x:c r="H170" s="16">
        <x:v>59</x:v>
      </x:c>
      <x:c r="I170" s="25">
        <x:f>E170/H170</x:f>
        <x:v>0.1864406779661017</x:v>
      </x:c>
    </x:row>
    <x:row r="171" ht="36" customHeight="1">
      <x:c r="A171" s="13" t="inlineStr">
        <x:is>
          <x:t xml:space="preserve">S&amp;R</x:t>
        </x:is>
      </x:c>
      <x:c r="B171" s="13" t="n">
        <x:v>4</x:v>
      </x:c>
      <x:c r="C171" s="13" t="inlineStr">
        <x:is>
          <x:t xml:space="preserve">Selbstversorgung, Souveränität und Importabhängigkeit</x:t>
        </x:is>
      </x:c>
      <x:c r="D171" s="21" t="n">
        <x:v>2022</x:v>
      </x:c>
      <x:c r="E171" s="14">
        <x:v>45</x:v>
      </x:c>
      <x:c r="F171" s="14">
        <x:v>4018</x:v>
      </x:c>
      <x:c r="G171" s="22">
        <x:f>E171/F171</x:f>
        <x:v>0.011199601791936287</x:v>
      </x:c>
      <x:c r="H171" s="14">
        <x:v>403</x:v>
      </x:c>
      <x:c r="I171" s="22">
        <x:f>E171/H171</x:f>
        <x:v>0.11166253101736973</x:v>
      </x:c>
    </x:row>
    <x:row r="172" ht="36" customHeight="1">
      <x:c r="A172" s="15" t="inlineStr">
        <x:is>
          <x:t xml:space="preserve">S&amp;R</x:t>
        </x:is>
      </x:c>
      <x:c r="B172" s="15" t="n">
        <x:v>4</x:v>
      </x:c>
      <x:c r="C172" s="15" t="inlineStr">
        <x:is>
          <x:t xml:space="preserve">Selbstversorgung, Souveränität und Importabhängigkeit</x:t>
        </x:is>
      </x:c>
      <x:c r="D172" s="24" t="n">
        <x:v>2023</x:v>
      </x:c>
      <x:c r="E172" s="16">
        <x:v>31</x:v>
      </x:c>
      <x:c r="F172" s="16">
        <x:v>3417</x:v>
      </x:c>
      <x:c r="G172" s="25">
        <x:f>E172/F172</x:f>
        <x:v>0.009072285630670179</x:v>
      </x:c>
      <x:c r="H172" s="16">
        <x:v>217</x:v>
      </x:c>
      <x:c r="I172" s="25">
        <x:f>E172/H172</x:f>
        <x:v>0.14285714285714285</x:v>
      </x:c>
    </x:row>
    <x:row r="173" ht="36" customHeight="1">
      <x:c r="A173" s="13" t="inlineStr">
        <x:is>
          <x:t xml:space="preserve">S&amp;R</x:t>
        </x:is>
      </x:c>
      <x:c r="B173" s="13" t="n">
        <x:v>4</x:v>
      </x:c>
      <x:c r="C173" s="13" t="inlineStr">
        <x:is>
          <x:t xml:space="preserve">Selbstversorgung, Souveränität und Importabhängigkeit</x:t>
        </x:is>
      </x:c>
      <x:c r="D173" s="21" t="n">
        <x:v>2024</x:v>
      </x:c>
      <x:c r="E173" s="14">
        <x:v>13</x:v>
      </x:c>
      <x:c r="F173" s="14">
        <x:v>4026</x:v>
      </x:c>
      <x:c r="G173" s="22">
        <x:f>E173/F173</x:f>
        <x:v>0.003229011425732737</x:v>
      </x:c>
      <x:c r="H173" s="14">
        <x:v>95</x:v>
      </x:c>
      <x:c r="I173" s="22">
        <x:f>E173/H173</x:f>
        <x:v>0.1368421052631579</x:v>
      </x:c>
    </x:row>
    <x:row r="174" ht="36" customHeight="1">
      <x:c r="A174" s="34" t="inlineStr">
        <x:is>
          <x:t xml:space="preserve">S&amp;R</x:t>
        </x:is>
      </x:c>
      <x:c r="B174" s="34" t="n">
        <x:v>4</x:v>
      </x:c>
      <x:c r="C174" s="34" t="inlineStr">
        <x:is>
          <x:t xml:space="preserve">Selbstversorgung, Souveränität und Importabhängigkeit</x:t>
        </x:is>
      </x:c>
      <x:c r="D174" s="40" t="n">
        <x:v>2025</x:v>
      </x:c>
      <x:c r="E174" s="35">
        <x:v>11</x:v>
      </x:c>
      <x:c r="F174" s="35">
        <x:v>2279</x:v>
      </x:c>
      <x:c r="G174" s="36">
        <x:f>E174/F174</x:f>
        <x:v>0.004826678367705134</x:v>
      </x:c>
      <x:c r="H174" s="35">
        <x:v>102</x:v>
      </x:c>
      <x:c r="I174" s="36">
        <x:f>E174/H174</x:f>
        <x:v>0.10784313725490197</x:v>
      </x:c>
    </x:row>
    <x:row r="175" ht="44" customHeight="1">
      <x:c r="A175" s="69" t="inlineStr">
        <x:is>
          <x:t xml:space="preserve">S&amp;R</x:t>
        </x:is>
      </x:c>
      <x:c r="B175" s="69" t="n">
        <x:v>5</x:v>
      </x:c>
      <x:c r="C175" s="69" t="inlineStr">
        <x:is>
          <x:t xml:space="preserve">Resilienz, Krisenfestigkeit und Systemrelevanz</x:t>
        </x:is>
      </x:c>
      <x:c r="D175" s="69" t="n">
        <x:v>2018</x:v>
      </x:c>
      <x:c r="E175" s="70">
        <x:v>4</x:v>
      </x:c>
      <x:c r="F175" s="70">
        <x:v>3254</x:v>
      </x:c>
      <x:c r="G175" s="71">
        <x:f>E175/F175</x:f>
        <x:v>0.001229256299938537</x:v>
      </x:c>
      <x:c r="H175" s="70">
        <x:v>41</x:v>
      </x:c>
      <x:c r="I175" s="71">
        <x:f>E175/H175</x:f>
        <x:v>0.0975609756097561</x:v>
      </x:c>
    </x:row>
    <x:row r="176" ht="44" customHeight="1">
      <x:c r="A176" s="69" t="inlineStr">
        <x:is>
          <x:t xml:space="preserve">S&amp;R</x:t>
        </x:is>
      </x:c>
      <x:c r="B176" s="69" t="n">
        <x:v>5</x:v>
      </x:c>
      <x:c r="C176" s="69" t="inlineStr">
        <x:is>
          <x:t xml:space="preserve">Resilienz, Krisenfestigkeit und Systemrelevanz</x:t>
        </x:is>
      </x:c>
      <x:c r="D176" s="69" t="n">
        <x:v>2019</x:v>
      </x:c>
      <x:c r="E176" s="70">
        <x:v>6</x:v>
      </x:c>
      <x:c r="F176" s="70">
        <x:v>2800</x:v>
      </x:c>
      <x:c r="G176" s="71">
        <x:f>E176/F176</x:f>
        <x:v>0.002142857142857143</x:v>
      </x:c>
      <x:c r="H176" s="70">
        <x:v>52</x:v>
      </x:c>
      <x:c r="I176" s="71">
        <x:f>E176/H176</x:f>
        <x:v>0.11538461538461539</x:v>
      </x:c>
    </x:row>
    <x:row r="177" ht="44" customHeight="1">
      <x:c r="A177" s="72" t="inlineStr">
        <x:is>
          <x:t xml:space="preserve">S&amp;R</x:t>
        </x:is>
      </x:c>
      <x:c r="B177" s="72" t="n">
        <x:v>5</x:v>
      </x:c>
      <x:c r="C177" s="72" t="inlineStr">
        <x:is>
          <x:t xml:space="preserve">Resilienz, Krisenfestigkeit und Systemrelevanz</x:t>
        </x:is>
      </x:c>
      <x:c r="D177" s="69" t="n">
        <x:v>2020</x:v>
      </x:c>
      <x:c r="E177" s="70">
        <x:v>13</x:v>
      </x:c>
      <x:c r="F177" s="70">
        <x:v>3133</x:v>
      </x:c>
      <x:c r="G177" s="71">
        <x:f>E177/F177</x:f>
        <x:v>0.004149377593360996</x:v>
      </x:c>
      <x:c r="H177" s="70">
        <x:v>79</x:v>
      </x:c>
      <x:c r="I177" s="71">
        <x:f>E177/H177</x:f>
        <x:v>0.16455696202531644</x:v>
      </x:c>
    </x:row>
    <x:row r="178" ht="44" customHeight="1">
      <x:c r="A178" s="72" t="inlineStr">
        <x:is>
          <x:t xml:space="preserve">S&amp;R</x:t>
        </x:is>
      </x:c>
      <x:c r="B178" s="72" t="n">
        <x:v>5</x:v>
      </x:c>
      <x:c r="C178" s="72" t="inlineStr">
        <x:is>
          <x:t xml:space="preserve">Resilienz, Krisenfestigkeit und Systemrelevanz</x:t>
        </x:is>
      </x:c>
      <x:c r="D178" s="69" t="n">
        <x:v>2021</x:v>
      </x:c>
      <x:c r="E178" s="70">
        <x:v>7</x:v>
      </x:c>
      <x:c r="F178" s="70">
        <x:v>2320</x:v>
      </x:c>
      <x:c r="G178" s="71">
        <x:f>E178/F178</x:f>
        <x:v>0.003017241379310345</x:v>
      </x:c>
      <x:c r="H178" s="70">
        <x:v>59</x:v>
      </x:c>
      <x:c r="I178" s="71">
        <x:f>E178/H178</x:f>
        <x:v>0.11864406779661017</x:v>
      </x:c>
    </x:row>
    <x:row r="179" ht="44" customHeight="1">
      <x:c r="A179" s="72" t="inlineStr">
        <x:is>
          <x:t xml:space="preserve">S&amp;R</x:t>
        </x:is>
      </x:c>
      <x:c r="B179" s="72" t="n">
        <x:v>5</x:v>
      </x:c>
      <x:c r="C179" s="72" t="inlineStr">
        <x:is>
          <x:t xml:space="preserve">Resilienz, Krisenfestigkeit und Systemrelevanz</x:t>
        </x:is>
      </x:c>
      <x:c r="D179" s="69" t="n">
        <x:v>2022</x:v>
      </x:c>
      <x:c r="E179" s="70">
        <x:v>35</x:v>
      </x:c>
      <x:c r="F179" s="70">
        <x:v>4018</x:v>
      </x:c>
      <x:c r="G179" s="71">
        <x:f>E179/F179</x:f>
        <x:v>0.008710801393728223</x:v>
      </x:c>
      <x:c r="H179" s="70">
        <x:v>403</x:v>
      </x:c>
      <x:c r="I179" s="71">
        <x:f>E179/H179</x:f>
        <x:v>0.08684863523573201</x:v>
      </x:c>
    </x:row>
    <x:row r="180" ht="44" customHeight="1">
      <x:c r="A180" s="72" t="inlineStr">
        <x:is>
          <x:t xml:space="preserve">S&amp;R</x:t>
        </x:is>
      </x:c>
      <x:c r="B180" s="72" t="n">
        <x:v>5</x:v>
      </x:c>
      <x:c r="C180" s="72" t="inlineStr">
        <x:is>
          <x:t xml:space="preserve">Resilienz, Krisenfestigkeit und Systemrelevanz</x:t>
        </x:is>
      </x:c>
      <x:c r="D180" s="69" t="n">
        <x:v>2023</x:v>
      </x:c>
      <x:c r="E180" s="70">
        <x:v>24</x:v>
      </x:c>
      <x:c r="F180" s="70">
        <x:v>3417</x:v>
      </x:c>
      <x:c r="G180" s="71">
        <x:f>E180/F180</x:f>
        <x:v>0.007023705004389816</x:v>
      </x:c>
      <x:c r="H180" s="70">
        <x:v>217</x:v>
      </x:c>
      <x:c r="I180" s="71">
        <x:f>E180/H180</x:f>
        <x:v>0.11059907834101383</x:v>
      </x:c>
    </x:row>
    <x:row r="181" ht="44" customHeight="1">
      <x:c r="A181" s="72" t="inlineStr">
        <x:is>
          <x:t xml:space="preserve">S&amp;R</x:t>
        </x:is>
      </x:c>
      <x:c r="B181" s="72" t="n">
        <x:v>5</x:v>
      </x:c>
      <x:c r="C181" s="72" t="inlineStr">
        <x:is>
          <x:t xml:space="preserve">Resilienz, Krisenfestigkeit und Systemrelevanz</x:t>
        </x:is>
      </x:c>
      <x:c r="D181" s="69" t="n">
        <x:v>2024</x:v>
      </x:c>
      <x:c r="E181" s="70">
        <x:v>13</x:v>
      </x:c>
      <x:c r="F181" s="70">
        <x:v>4026</x:v>
      </x:c>
      <x:c r="G181" s="71">
        <x:f>E181/F181</x:f>
        <x:v>0.003229011425732737</x:v>
      </x:c>
      <x:c r="H181" s="70">
        <x:v>95</x:v>
      </x:c>
      <x:c r="I181" s="71">
        <x:f>E181/H181</x:f>
        <x:v>0.1368421052631579</x:v>
      </x:c>
    </x:row>
    <x:row r="182" ht="44" customHeight="1">
      <x:c r="A182" s="72" t="inlineStr">
        <x:is>
          <x:t xml:space="preserve">S&amp;R</x:t>
        </x:is>
      </x:c>
      <x:c r="B182" s="72" t="n">
        <x:v>5</x:v>
      </x:c>
      <x:c r="C182" s="72" t="inlineStr">
        <x:is>
          <x:t xml:space="preserve">Resilienz, Krisenfestigkeit und Systemrelevanz</x:t>
        </x:is>
      </x:c>
      <x:c r="D182" s="69" t="n">
        <x:v>2025</x:v>
      </x:c>
      <x:c r="E182" s="70">
        <x:v>15</x:v>
      </x:c>
      <x:c r="F182" s="70">
        <x:v>2279</x:v>
      </x:c>
      <x:c r="G182" s="71">
        <x:f>E182/F182</x:f>
        <x:v>0.006581834137779728</x:v>
      </x:c>
      <x:c r="H182" s="70">
        <x:v>102</x:v>
      </x:c>
      <x:c r="I182" s="71">
        <x:f>E182/H182</x:f>
        <x:v>0.14705882352941177</x:v>
      </x:c>
    </x:row>
  </x:sheetData>
  <x:pageMargins left="0.7" right="0.7" top="0.75" bottom="0.75" header="0.3" footer="0.3"/>
  <x:tableParts count="2">
    <x:tablePart r:id="Raa7eec26e9ea43db"/>
    <x:tablePart r:id="R413c18ff7deb4e45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11" topLeftCell="A12" activePane="bottomLeft" state="frozen"/>
    </x:sheetView>
  </x:sheetViews>
  <x:sheetFormatPr defaultRowHeight="15"/>
  <x:cols>
    <x:col min="1" max="1" width="18.299999237060547" hidden="0" customWidth="1"/>
    <x:col min="2" max="2" width="16.700000762939453" hidden="0" customWidth="1"/>
    <x:col min="3" max="3" width="16.700000762939453" hidden="0" customWidth="1"/>
    <x:col min="4" max="4" width="16.700000762939453" hidden="0" customWidth="1"/>
    <x:col min="5" max="5" width="16.700000762939453" hidden="0" customWidth="1"/>
    <x:col min="6" max="6" width="16.700000762939453" hidden="0" customWidth="1"/>
    <x:col min="7" max="7" width="16.700000762939453" hidden="0" customWidth="1"/>
    <x:col min="8" max="8" width="16.700000762939453" hidden="0" customWidth="1"/>
    <x:col min="9" max="9" width="16.700000762939453" hidden="0" customWidth="1"/>
    <x:col min="10" max="10" width="16.700000762939453" hidden="0" customWidth="1"/>
    <x:col min="11" max="11" width="16.700000762939453" hidden="0" customWidth="1"/>
    <x:col min="12" max="12" width="16.700000762939453" hidden="0" customWidth="1"/>
    <x:col min="13" max="13" width="16.700000762939453" hidden="0" customWidth="1"/>
    <x:col min="14" max="14" width="16.700000762939453" hidden="0" customWidth="1"/>
    <x:col min="15" max="15" width="16.700000762939453" hidden="0" customWidth="1"/>
    <x:col min="16" max="16" width="16.700000762939453" hidden="0" customWidth="1"/>
    <x:col min="17" max="17" width="16.700000762939453" hidden="0" customWidth="1"/>
    <x:col min="18" max="18" width="16.700000762939453" hidden="0" customWidth="1"/>
    <x:col min="19" max="19" width="16.700000762939453" hidden="0" customWidth="1"/>
    <x:col min="20" max="20" width="16.700000762939453" hidden="0" customWidth="1"/>
    <x:col min="21" max="21" width="16.700000762939453" hidden="0" customWidth="1"/>
  </x:cols>
  <x:sheetData>
    <x:row r="1" ht="10" customHeight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</x:row>
    <x:row r="2" ht="28" customHeight="1">
      <x:c r="A2" s="73" t="inlineStr">
        <x:is>
          <x:t xml:space="preserve">Themenanteile ohne Beiträge aus Regierungs- und anderen Amtsrollen</x:t>
        </x:is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</x:row>
    <x:row r="3" ht="22" customHeight="1">
      <x:c r="A3" s="74" t="inlineStr">
        <x:is>
          <x:t xml:space="preserve">Ausschluss: Beiträge, für die im Satzmaster in redner_rolle_kurz oder redner_rolle_lang eine Amtsrolle dokumentiert ist (Bundesminister, Parl. Staatssekretäre, Bundeskanzler, Staatsminister, Landesminister, Präsident).</x:t>
        </x:is>
      </x:c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</x:row>
    <x:row r="4" ht="22" customHeight="1">
      <x:c r="A4" s="74" t="inlineStr">
        <x:is>
          <x:t xml:space="preserve">Maßgeblich ist die am Beitrag dokumentierte Rolle, nicht die Person. Abgeordnetenbeiträge derselben Person bleiben enthalten.</x:t>
        </x:is>
      </x:c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</x:row>
    <x:row r="5" ht="22" customHeight="1">
      <x:c r="A5" s="74" t="inlineStr">
        <x:is>
          <x:t xml:space="preserve">Themenanteile: Sätze des Themenbereichs / A&amp;E-Sätze der Fraktion und des Jahres, vor (ursprünglich) und nach dem Ausschluss (bereinigt). Mehrfachzuordnungen möglich.</x:t>
        </x:is>
      </x:c>
      <x:c r="B5" s="43"/>
      <x:c r="C5" s="43"/>
      <x:c r="D5" s="43"/>
      <x:c r="E5" s="43"/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</x:row>
    <x:row r="6" ht="22" customHeight="1">
      <x:c r="A6" s="74" t="inlineStr">
        <x:is>
          <x:t xml:space="preserve">Gemeinsamer Jahreswert (Tabelle 2): gepoolter Anteil der sechs Fraktionen, ebenfalls mit und ohne Amtsbeiträge. Tabelle 3 misst die Abstände der fünf in Abschnitt 4.3 beschriebenen wiederkehrenden Unterschiede am bereinigten gemeinsamen Wert.</x:t>
        </x:is>
      </x:c>
      <x:c r="B6" s="43"/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</x:row>
    <x:row r="7" ht="22" customHeight="1">
      <x:c r="A7" s="74" t="inlineStr">
        <x:is>
          <x:t xml:space="preserve">Änderung = bereinigter Anteil minus ursprünglicher Anteil, in Prozentpunkten. FDP 2025: drei A&amp;E-Sätze, Individualwerte n.a.; die Sätze bleiben im gemeinsamen Jahreswert.</x:t>
        </x:is>
      </x:c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</x:row>
    <x:row r="8" ht="22" customHeight="1">
      <x:c r="A8" s="74" t="str">
        <x:v>Politikfeldanteile werden in dieser ergänzenden Kontrolle nicht neu berechnet. Dafür müsste zusätzlich der gesamte Plenarnenner um Amtsbeiträge bereinigt werden.</x:v>
      </x:c>
      <x:c r="B8" s="43"/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</x:row>
    <x:row r="10" ht="26" customHeight="1">
      <x:c r="A10" s="75" t="inlineStr">
        <x:is>
          <x:t xml:space="preserve">1. Fraktionen und Jahre: Amtsbeiträge und Themenanteile mit und ohne Ausschluss</x:t>
        </x:is>
      </x:c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</x:row>
    <x:row r="11" ht="64" customHeight="1">
      <x:c r="A11" s="76" t="inlineStr">
        <x:is>
          <x:t xml:space="preserve">Fraktion</x:t>
        </x:is>
      </x:c>
      <x:c r="B11" s="76" t="inlineStr">
        <x:is>
          <x:t xml:space="preserve">Jahr</x:t>
        </x:is>
      </x:c>
      <x:c r="C11" s="76" t="inlineStr">
        <x:is>
          <x:t xml:space="preserve">A&amp;E-Sätze</x:t>
        </x:is>
      </x:c>
      <x:c r="D11" s="76" t="inlineStr">
        <x:is>
          <x:t xml:space="preserve">Sätze aus Amtsrollen</x:t>
        </x:is>
      </x:c>
      <x:c r="E11" s="76" t="inlineStr">
        <x:is>
          <x:t xml:space="preserve">Anteil Amtsrollen</x:t>
        </x:is>
      </x:c>
      <x:c r="F11" s="76" t="inlineStr">
        <x:is>
          <x:t xml:space="preserve">A&amp;E ohne Amtsrollen</x:t>
        </x:is>
      </x:c>
      <x:c r="G11" s="76" t="inlineStr">
        <x:is>
          <x:t xml:space="preserve">Ökologie n</x:t>
        </x:is>
      </x:c>
      <x:c r="H11" s="76" t="inlineStr">
        <x:is>
          <x:t xml:space="preserve">Ökologie n ohne Amtsrollen</x:t>
        </x:is>
      </x:c>
      <x:c r="I11" s="76" t="inlineStr">
        <x:is>
          <x:t xml:space="preserve">Ökologie ursprünglich</x:t>
        </x:is>
      </x:c>
      <x:c r="J11" s="76" t="inlineStr">
        <x:is>
          <x:t xml:space="preserve">Ökologie bereinigt</x:t>
        </x:is>
      </x:c>
      <x:c r="K11" s="76" t="inlineStr">
        <x:is>
          <x:t xml:space="preserve">Änderung Ökologie (Pp.)</x:t>
        </x:is>
      </x:c>
      <x:c r="L11" s="76" t="inlineStr">
        <x:is>
          <x:t xml:space="preserve">Ökonomie n</x:t>
        </x:is>
      </x:c>
      <x:c r="M11" s="76" t="inlineStr">
        <x:is>
          <x:t xml:space="preserve">Ökonomie n ohne Amtsrollen</x:t>
        </x:is>
      </x:c>
      <x:c r="N11" s="76" t="inlineStr">
        <x:is>
          <x:t xml:space="preserve">Ökonomie ursprünglich</x:t>
        </x:is>
      </x:c>
      <x:c r="O11" s="76" t="inlineStr">
        <x:is>
          <x:t xml:space="preserve">Ökonomie bereinigt</x:t>
        </x:is>
      </x:c>
      <x:c r="P11" s="76" t="inlineStr">
        <x:is>
          <x:t xml:space="preserve">Änderung Ökonomie (Pp.)</x:t>
        </x:is>
      </x:c>
      <x:c r="Q11" s="76" t="inlineStr">
        <x:is>
          <x:t xml:space="preserve">S&amp;R n</x:t>
        </x:is>
      </x:c>
      <x:c r="R11" s="76" t="inlineStr">
        <x:is>
          <x:t xml:space="preserve">S&amp;R n ohne Amtsrollen</x:t>
        </x:is>
      </x:c>
      <x:c r="S11" s="76" t="inlineStr">
        <x:is>
          <x:t xml:space="preserve">S&amp;R ursprünglich</x:t>
        </x:is>
      </x:c>
      <x:c r="T11" s="76" t="inlineStr">
        <x:is>
          <x:t xml:space="preserve">S&amp;R bereinigt</x:t>
        </x:is>
      </x:c>
      <x:c r="U11" s="76" t="inlineStr">
        <x:is>
          <x:t xml:space="preserve">Änderung S&amp;R (Pp.)</x:t>
        </x:is>
      </x:c>
    </x:row>
    <x:row r="12" ht="24" customHeight="1">
      <x:c r="A12" s="77" t="inlineStr">
        <x:is>
          <x:t xml:space="preserve">CDU/CSU</x:t>
        </x:is>
      </x:c>
      <x:c r="B12" s="78" t="n">
        <x:v>2018</x:v>
      </x:c>
      <x:c r="C12" s="79">
        <x:v>1092</x:v>
      </x:c>
      <x:c r="D12" s="79">
        <x:v>302</x:v>
      </x:c>
      <x:c r="E12" s="80">
        <x:f>IF(C12=0,"n.a.",D12/C12)</x:f>
        <x:v>0.2765567765567766</x:v>
      </x:c>
      <x:c r="F12" s="79">
        <x:f>C12-D12</x:f>
        <x:v>790</x:v>
      </x:c>
      <x:c r="G12" s="79">
        <x:v>272</x:v>
      </x:c>
      <x:c r="H12" s="79">
        <x:v>195</x:v>
      </x:c>
      <x:c r="I12" s="81">
        <x:f>IF(C12=0,"n.a.",G12/C12)</x:f>
        <x:v>0.2490842490842491</x:v>
      </x:c>
      <x:c r="J12" s="81">
        <x:f>IF(F12=0,"n.a.",H12/F12)</x:f>
        <x:v>0.2468354430379747</x:v>
      </x:c>
      <x:c r="K12" s="82">
        <x:f>(J12-I12)*100</x:f>
        <x:v>-0.2248806046274393</x:v>
      </x:c>
      <x:c r="L12" s="79">
        <x:v>155</x:v>
      </x:c>
      <x:c r="M12" s="79">
        <x:v>108</x:v>
      </x:c>
      <x:c r="N12" s="81">
        <x:f>IF(C12=0,"n.a.",L12/C12)</x:f>
        <x:v>0.14194139194139194</x:v>
      </x:c>
      <x:c r="O12" s="81">
        <x:f>IF(F12=0,"n.a.",M12/F12)</x:f>
        <x:v>0.13670886075949368</x:v>
      </x:c>
      <x:c r="P12" s="82">
        <x:f>(O12-N12)*100</x:f>
        <x:v>-0.5232531181898259</x:v>
      </x:c>
      <x:c r="Q12" s="79">
        <x:v>11</x:v>
      </x:c>
      <x:c r="R12" s="79">
        <x:v>6</x:v>
      </x:c>
      <x:c r="S12" s="81">
        <x:f>IF(C12=0,"n.a.",Q12/C12)</x:f>
        <x:v>0.010073260073260074</x:v>
      </x:c>
      <x:c r="T12" s="81">
        <x:f>IF(F12=0,"n.a.",R12/F12)</x:f>
        <x:v>0.007594936708860759</x:v>
      </x:c>
      <x:c r="U12" s="82">
        <x:f>(T12-S12)*100</x:f>
        <x:v>-0.24783233643993147</x:v>
      </x:c>
    </x:row>
    <x:row r="13" ht="24" customHeight="1">
      <x:c r="A13" s="77" t="inlineStr">
        <x:is>
          <x:t xml:space="preserve">CDU/CSU</x:t>
        </x:is>
      </x:c>
      <x:c r="B13" s="78" t="n">
        <x:v>2019</x:v>
      </x:c>
      <x:c r="C13" s="79">
        <x:v>946</x:v>
      </x:c>
      <x:c r="D13" s="79">
        <x:v>240</x:v>
      </x:c>
      <x:c r="E13" s="80">
        <x:f>IF(C13=0,"n.a.",D13/C13)</x:f>
        <x:v>0.2536997885835095</x:v>
      </x:c>
      <x:c r="F13" s="79">
        <x:f>C13-D13</x:f>
        <x:v>706</x:v>
      </x:c>
      <x:c r="G13" s="79">
        <x:v>272</x:v>
      </x:c>
      <x:c r="H13" s="79">
        <x:v>184</x:v>
      </x:c>
      <x:c r="I13" s="81">
        <x:f>IF(C13=0,"n.a.",G13/C13)</x:f>
        <x:v>0.28752642706131076</x:v>
      </x:c>
      <x:c r="J13" s="81">
        <x:f>IF(F13=0,"n.a.",H13/F13)</x:f>
        <x:v>0.26062322946175637</x:v>
      </x:c>
      <x:c r="K13" s="82">
        <x:f>(J13-I13)*100</x:f>
        <x:v>-2.6903197599554396</x:v>
      </x:c>
      <x:c r="L13" s="79">
        <x:v>127</x:v>
      </x:c>
      <x:c r="M13" s="79">
        <x:v>105</x:v>
      </x:c>
      <x:c r="N13" s="81">
        <x:f>IF(C13=0,"n.a.",L13/C13)</x:f>
        <x:v>0.13424947145877378</x:v>
      </x:c>
      <x:c r="O13" s="81">
        <x:f>IF(F13=0,"n.a.",M13/F13)</x:f>
        <x:v>0.14872521246458922</x:v>
      </x:c>
      <x:c r="P13" s="82">
        <x:f>(O13-N13)*100</x:f>
        <x:v>1.4475741005815446</x:v>
      </x:c>
      <x:c r="Q13" s="79">
        <x:v>20</x:v>
      </x:c>
      <x:c r="R13" s="79">
        <x:v>20</x:v>
      </x:c>
      <x:c r="S13" s="81">
        <x:f>IF(C13=0,"n.a.",Q13/C13)</x:f>
        <x:v>0.021141649048625793</x:v>
      </x:c>
      <x:c r="T13" s="81">
        <x:f>IF(F13=0,"n.a.",R13/F13)</x:f>
        <x:v>0.028328611898016998</x:v>
      </x:c>
      <x:c r="U13" s="82">
        <x:f>(T13-S13)*100</x:f>
        <x:v>0.7186962849391205</x:v>
      </x:c>
    </x:row>
    <x:row r="14" ht="24" customHeight="1">
      <x:c r="A14" s="77" t="inlineStr">
        <x:is>
          <x:t xml:space="preserve">CDU/CSU</x:t>
        </x:is>
      </x:c>
      <x:c r="B14" s="78" t="n">
        <x:v>2020</x:v>
      </x:c>
      <x:c r="C14" s="79">
        <x:v>1242</x:v>
      </x:c>
      <x:c r="D14" s="79">
        <x:v>379</x:v>
      </x:c>
      <x:c r="E14" s="80">
        <x:f>IF(C14=0,"n.a.",D14/C14)</x:f>
        <x:v>0.30515297906602257</x:v>
      </x:c>
      <x:c r="F14" s="79">
        <x:f>C14-D14</x:f>
        <x:v>863</x:v>
      </x:c>
      <x:c r="G14" s="79">
        <x:v>277</x:v>
      </x:c>
      <x:c r="H14" s="79">
        <x:v>167</x:v>
      </x:c>
      <x:c r="I14" s="81">
        <x:f>IF(C14=0,"n.a.",G14/C14)</x:f>
        <x:v>0.22302737520128824</x:v>
      </x:c>
      <x:c r="J14" s="81">
        <x:f>IF(F14=0,"n.a.",H14/F14)</x:f>
        <x:v>0.19351100811123986</x:v>
      </x:c>
      <x:c r="K14" s="82">
        <x:f>(J14-I14)*100</x:f>
        <x:v>-2.951636709004837</x:v>
      </x:c>
      <x:c r="L14" s="79">
        <x:v>164</x:v>
      </x:c>
      <x:c r="M14" s="79">
        <x:v>106</x:v>
      </x:c>
      <x:c r="N14" s="81">
        <x:f>IF(C14=0,"n.a.",L14/C14)</x:f>
        <x:v>0.1320450885668277</x:v>
      </x:c>
      <x:c r="O14" s="81">
        <x:f>IF(F14=0,"n.a.",M14/F14)</x:f>
        <x:v>0.12282734646581692</x:v>
      </x:c>
      <x:c r="P14" s="82">
        <x:f>(O14-N14)*100</x:f>
        <x:v>-0.9217742101010784</x:v>
      </x:c>
      <x:c r="Q14" s="79">
        <x:v>23</x:v>
      </x:c>
      <x:c r="R14" s="79">
        <x:v>16</x:v>
      </x:c>
      <x:c r="S14" s="81">
        <x:f>IF(C14=0,"n.a.",Q14/C14)</x:f>
        <x:v>0.018518518518518517</x:v>
      </x:c>
      <x:c r="T14" s="81">
        <x:f>IF(F14=0,"n.a.",R14/F14)</x:f>
        <x:v>0.01853997682502897</x:v>
      </x:c>
      <x:c r="U14" s="82">
        <x:f>(T14-S14)*100</x:f>
        <x:v>0.002145830651045094</x:v>
      </x:c>
    </x:row>
    <x:row r="15" ht="24" customHeight="1">
      <x:c r="A15" s="77" t="inlineStr">
        <x:is>
          <x:t xml:space="preserve">CDU/CSU</x:t>
        </x:is>
      </x:c>
      <x:c r="B15" s="78" t="n">
        <x:v>2021</x:v>
      </x:c>
      <x:c r="C15" s="79">
        <x:v>1012</x:v>
      </x:c>
      <x:c r="D15" s="79">
        <x:v>202</x:v>
      </x:c>
      <x:c r="E15" s="80">
        <x:f>IF(C15=0,"n.a.",D15/C15)</x:f>
        <x:v>0.19960474308300397</x:v>
      </x:c>
      <x:c r="F15" s="79">
        <x:f>C15-D15</x:f>
        <x:v>810</x:v>
      </x:c>
      <x:c r="G15" s="79">
        <x:v>386</x:v>
      </x:c>
      <x:c r="H15" s="79">
        <x:v>329</x:v>
      </x:c>
      <x:c r="I15" s="81">
        <x:f>IF(C15=0,"n.a.",G15/C15)</x:f>
        <x:v>0.3814229249011858</x:v>
      </x:c>
      <x:c r="J15" s="81">
        <x:f>IF(F15=0,"n.a.",H15/F15)</x:f>
        <x:v>0.40617283950617283</x:v>
      </x:c>
      <x:c r="K15" s="82">
        <x:f>(J15-I15)*100</x:f>
        <x:v>2.474991460498704</x:v>
      </x:c>
      <x:c r="L15" s="79">
        <x:v>204</x:v>
      </x:c>
      <x:c r="M15" s="79">
        <x:v>160</x:v>
      </x:c>
      <x:c r="N15" s="81">
        <x:f>IF(C15=0,"n.a.",L15/C15)</x:f>
        <x:v>0.2015810276679842</x:v>
      </x:c>
      <x:c r="O15" s="81">
        <x:f>IF(F15=0,"n.a.",M15/F15)</x:f>
        <x:v>0.19753086419753085</x:v>
      </x:c>
      <x:c r="P15" s="82">
        <x:f>(O15-N15)*100</x:f>
        <x:v>-0.40501634704533385</x:v>
      </x:c>
      <x:c r="Q15" s="79">
        <x:v>34</x:v>
      </x:c>
      <x:c r="R15" s="79">
        <x:v>15</x:v>
      </x:c>
      <x:c r="S15" s="81">
        <x:f>IF(C15=0,"n.a.",Q15/C15)</x:f>
        <x:v>0.03359683794466403</x:v>
      </x:c>
      <x:c r="T15" s="81">
        <x:f>IF(F15=0,"n.a.",R15/F15)</x:f>
        <x:v>0.018518518518518517</x:v>
      </x:c>
      <x:c r="U15" s="82">
        <x:f>(T15-S15)*100</x:f>
        <x:v>-1.5078319426145514</x:v>
      </x:c>
    </x:row>
    <x:row r="16" ht="24" customHeight="1">
      <x:c r="A16" s="77" t="inlineStr">
        <x:is>
          <x:t xml:space="preserve">CDU/CSU</x:t>
        </x:is>
      </x:c>
      <x:c r="B16" s="78" t="n">
        <x:v>2022</x:v>
      </x:c>
      <x:c r="C16" s="79">
        <x:v>1003</x:v>
      </x:c>
      <x:c r="D16" s="79">
        <x:v>21</x:v>
      </x:c>
      <x:c r="E16" s="80">
        <x:f>IF(C16=0,"n.a.",D16/C16)</x:f>
        <x:v>0.020937188434695914</x:v>
      </x:c>
      <x:c r="F16" s="79">
        <x:f>C16-D16</x:f>
        <x:v>982</x:v>
      </x:c>
      <x:c r="G16" s="79">
        <x:v>221</x:v>
      </x:c>
      <x:c r="H16" s="79">
        <x:v>221</x:v>
      </x:c>
      <x:c r="I16" s="81">
        <x:f>IF(C16=0,"n.a.",G16/C16)</x:f>
        <x:v>0.22033898305084745</x:v>
      </x:c>
      <x:c r="J16" s="81">
        <x:f>IF(F16=0,"n.a.",H16/F16)</x:f>
        <x:v>0.225050916496945</x:v>
      </x:c>
      <x:c r="K16" s="82">
        <x:f>(J16-I16)*100</x:f>
        <x:v>0.4711933446097549</x:v>
      </x:c>
      <x:c r="L16" s="79">
        <x:v>248</x:v>
      </x:c>
      <x:c r="M16" s="79">
        <x:v>247</x:v>
      </x:c>
      <x:c r="N16" s="81">
        <x:f>IF(C16=0,"n.a.",L16/C16)</x:f>
        <x:v>0.2472582253240279</x:v>
      </x:c>
      <x:c r="O16" s="81">
        <x:f>IF(F16=0,"n.a.",M16/F16)</x:f>
        <x:v>0.2515274949083503</x:v>
      </x:c>
      <x:c r="P16" s="82">
        <x:f>(O16-N16)*100</x:f>
        <x:v>0.4269269584322388</x:v>
      </x:c>
      <x:c r="Q16" s="79">
        <x:v>80</x:v>
      </x:c>
      <x:c r="R16" s="79">
        <x:v>77</x:v>
      </x:c>
      <x:c r="S16" s="81">
        <x:f>IF(C16=0,"n.a.",Q16/C16)</x:f>
        <x:v>0.07976071784646062</x:v>
      </x:c>
      <x:c r="T16" s="81">
        <x:f>IF(F16=0,"n.a.",R16/F16)</x:f>
        <x:v>0.07841140529531568</x:v>
      </x:c>
      <x:c r="U16" s="82">
        <x:f>(T16-S16)*100</x:f>
        <x:v>-0.13493125511449405</x:v>
      </x:c>
    </x:row>
    <x:row r="17" ht="24" customHeight="1">
      <x:c r="A17" s="77" t="inlineStr">
        <x:is>
          <x:t xml:space="preserve">CDU/CSU</x:t>
        </x:is>
      </x:c>
      <x:c r="B17" s="78" t="n">
        <x:v>2023</x:v>
      </x:c>
      <x:c r="C17" s="79">
        <x:v>792</x:v>
      </x:c>
      <x:c r="D17" s="79">
        <x:v>1</x:v>
      </x:c>
      <x:c r="E17" s="80">
        <x:f>IF(C17=0,"n.a.",D17/C17)</x:f>
        <x:v>0.0012626262626262627</x:v>
      </x:c>
      <x:c r="F17" s="79">
        <x:f>C17-D17</x:f>
        <x:v>791</x:v>
      </x:c>
      <x:c r="G17" s="79">
        <x:v>186</x:v>
      </x:c>
      <x:c r="H17" s="79">
        <x:v>186</x:v>
      </x:c>
      <x:c r="I17" s="81">
        <x:f>IF(C17=0,"n.a.",G17/C17)</x:f>
        <x:v>0.23484848484848486</x:v>
      </x:c>
      <x:c r="J17" s="81">
        <x:f>IF(F17=0,"n.a.",H17/F17)</x:f>
        <x:v>0.23514538558786346</x:v>
      </x:c>
      <x:c r="K17" s="82">
        <x:f>(J17-I17)*100</x:f>
        <x:v>0.029690073937860273</x:v>
      </x:c>
      <x:c r="L17" s="79">
        <x:v>168</x:v>
      </x:c>
      <x:c r="M17" s="79">
        <x:v>168</x:v>
      </x:c>
      <x:c r="N17" s="81">
        <x:f>IF(C17=0,"n.a.",L17/C17)</x:f>
        <x:v>0.21212121212121213</x:v>
      </x:c>
      <x:c r="O17" s="81">
        <x:f>IF(F17=0,"n.a.",M17/F17)</x:f>
        <x:v>0.21238938053097345</x:v>
      </x:c>
      <x:c r="P17" s="82">
        <x:f>(O17-N17)*100</x:f>
        <x:v>0.026816840976132128</x:v>
      </x:c>
      <x:c r="Q17" s="79">
        <x:v>36</x:v>
      </x:c>
      <x:c r="R17" s="79">
        <x:v>36</x:v>
      </x:c>
      <x:c r="S17" s="81">
        <x:f>IF(C17=0,"n.a.",Q17/C17)</x:f>
        <x:v>0.045454545454545456</x:v>
      </x:c>
      <x:c r="T17" s="81">
        <x:f>IF(F17=0,"n.a.",R17/F17)</x:f>
        <x:v>0.045512010113780026</x:v>
      </x:c>
      <x:c r="U17" s="82">
        <x:f>(T17-S17)*100</x:f>
        <x:v>0.005746465923456984</x:v>
      </x:c>
    </x:row>
    <x:row r="18" ht="24" customHeight="1">
      <x:c r="A18" s="77" t="inlineStr">
        <x:is>
          <x:t xml:space="preserve">CDU/CSU</x:t>
        </x:is>
      </x:c>
      <x:c r="B18" s="78" t="n">
        <x:v>2024</x:v>
      </x:c>
      <x:c r="C18" s="79">
        <x:v>1054</x:v>
      </x:c>
      <x:c r="D18" s="79">
        <x:v>5</x:v>
      </x:c>
      <x:c r="E18" s="80">
        <x:f>IF(C18=0,"n.a.",D18/C18)</x:f>
        <x:v>0.004743833017077799</x:v>
      </x:c>
      <x:c r="F18" s="79">
        <x:f>C18-D18</x:f>
        <x:v>1049</x:v>
      </x:c>
      <x:c r="G18" s="79">
        <x:v>160</x:v>
      </x:c>
      <x:c r="H18" s="79">
        <x:v>159</x:v>
      </x:c>
      <x:c r="I18" s="81">
        <x:f>IF(C18=0,"n.a.",G18/C18)</x:f>
        <x:v>0.15180265654648956</x:v>
      </x:c>
      <x:c r="J18" s="81">
        <x:f>IF(F18=0,"n.a.",H18/F18)</x:f>
        <x:v>0.1515729265967588</x:v>
      </x:c>
      <x:c r="K18" s="82">
        <x:f>(J18-I18)*100</x:f>
        <x:v>-0.022972994973075034</x:v>
      </x:c>
      <x:c r="L18" s="79">
        <x:v>374</x:v>
      </x:c>
      <x:c r="M18" s="79">
        <x:v>374</x:v>
      </x:c>
      <x:c r="N18" s="81">
        <x:f>IF(C18=0,"n.a.",L18/C18)</x:f>
        <x:v>0.3548387096774194</x:v>
      </x:c>
      <x:c r="O18" s="81">
        <x:f>IF(F18=0,"n.a.",M18/F18)</x:f>
        <x:v>0.3565300285986654</x:v>
      </x:c>
      <x:c r="P18" s="82">
        <x:f>(O18-N18)*100</x:f>
        <x:v>0.1691318921246021</x:v>
      </x:c>
      <x:c r="Q18" s="79">
        <x:v>15</x:v>
      </x:c>
      <x:c r="R18" s="79">
        <x:v>15</x:v>
      </x:c>
      <x:c r="S18" s="81">
        <x:f>IF(C18=0,"n.a.",Q18/C18)</x:f>
        <x:v>0.014231499051233396</x:v>
      </x:c>
      <x:c r="T18" s="81">
        <x:f>IF(F18=0,"n.a.",R18/F18)</x:f>
        <x:v>0.014299332697807437</x:v>
      </x:c>
      <x:c r="U18" s="82">
        <x:f>(T18-S18)*100</x:f>
        <x:v>0.006783364657404062</x:v>
      </x:c>
    </x:row>
    <x:row r="19" ht="24" customHeight="1">
      <x:c r="A19" s="77" t="inlineStr">
        <x:is>
          <x:t xml:space="preserve">CDU/CSU</x:t>
        </x:is>
      </x:c>
      <x:c r="B19" s="78" t="n">
        <x:v>2025</x:v>
      </x:c>
      <x:c r="C19" s="79">
        <x:v>746</x:v>
      </x:c>
      <x:c r="D19" s="79">
        <x:v>203</x:v>
      </x:c>
      <x:c r="E19" s="80">
        <x:f>IF(C19=0,"n.a.",D19/C19)</x:f>
        <x:v>0.27211796246648795</x:v>
      </x:c>
      <x:c r="F19" s="79">
        <x:f>C19-D19</x:f>
        <x:v>543</x:v>
      </x:c>
      <x:c r="G19" s="79">
        <x:v>151</x:v>
      </x:c>
      <x:c r="H19" s="79">
        <x:v>110</x:v>
      </x:c>
      <x:c r="I19" s="81">
        <x:f>IF(C19=0,"n.a.",G19/C19)</x:f>
        <x:v>0.20241286863270777</x:v>
      </x:c>
      <x:c r="J19" s="81">
        <x:f>IF(F19=0,"n.a.",H19/F19)</x:f>
        <x:v>0.20257826887661143</x:v>
      </x:c>
      <x:c r="K19" s="82">
        <x:f>(J19-I19)*100</x:f>
        <x:v>0.016540024390365726</x:v>
      </x:c>
      <x:c r="L19" s="79">
        <x:v>218</x:v>
      </x:c>
      <x:c r="M19" s="79">
        <x:v>162</x:v>
      </x:c>
      <x:c r="N19" s="81">
        <x:f>IF(C19=0,"n.a.",L19/C19)</x:f>
        <x:v>0.29222520107238603</x:v>
      </x:c>
      <x:c r="O19" s="81">
        <x:f>IF(F19=0,"n.a.",M19/F19)</x:f>
        <x:v>0.2983425414364641</x:v>
      </x:c>
      <x:c r="P19" s="82">
        <x:f>(O19-N19)*100</x:f>
        <x:v>0.6117340364078072</x:v>
      </x:c>
      <x:c r="Q19" s="79">
        <x:v>35</x:v>
      </x:c>
      <x:c r="R19" s="79">
        <x:v>24</x:v>
      </x:c>
      <x:c r="S19" s="81">
        <x:f>IF(C19=0,"n.a.",Q19/C19)</x:f>
        <x:v>0.04691689008042895</x:v>
      </x:c>
      <x:c r="T19" s="81">
        <x:f>IF(F19=0,"n.a.",R19/F19)</x:f>
        <x:v>0.04419889502762431</x:v>
      </x:c>
      <x:c r="U19" s="82">
        <x:f>(T19-S19)*100</x:f>
        <x:v>-0.27179950528046437</x:v>
      </x:c>
    </x:row>
    <x:row r="20" ht="24" customHeight="1">
      <x:c r="A20" s="77" t="inlineStr">
        <x:is>
          <x:t xml:space="preserve">SPD</x:t>
        </x:is>
      </x:c>
      <x:c r="B20" s="78" t="n">
        <x:v>2018</x:v>
      </x:c>
      <x:c r="C20" s="79">
        <x:v>744</x:v>
      </x:c>
      <x:c r="D20" s="79">
        <x:v>69</x:v>
      </x:c>
      <x:c r="E20" s="80">
        <x:f>IF(C20=0,"n.a.",D20/C20)</x:f>
        <x:v>0.09274193548387097</x:v>
      </x:c>
      <x:c r="F20" s="79">
        <x:f>C20-D20</x:f>
        <x:v>675</x:v>
      </x:c>
      <x:c r="G20" s="79">
        <x:v>267</x:v>
      </x:c>
      <x:c r="H20" s="79">
        <x:v>233</x:v>
      </x:c>
      <x:c r="I20" s="81">
        <x:f>IF(C20=0,"n.a.",G20/C20)</x:f>
        <x:v>0.3588709677419355</x:v>
      </x:c>
      <x:c r="J20" s="81">
        <x:f>IF(F20=0,"n.a.",H20/F20)</x:f>
        <x:v>0.3451851851851852</x:v>
      </x:c>
      <x:c r="K20" s="82">
        <x:f>(J20-I20)*100</x:f>
        <x:v>-1.3685782556750292</x:v>
      </x:c>
      <x:c r="L20" s="79">
        <x:v>91</x:v>
      </x:c>
      <x:c r="M20" s="79">
        <x:v>80</x:v>
      </x:c>
      <x:c r="N20" s="81">
        <x:f>IF(C20=0,"n.a.",L20/C20)</x:f>
        <x:v>0.12231182795698925</x:v>
      </x:c>
      <x:c r="O20" s="81">
        <x:f>IF(F20=0,"n.a.",M20/F20)</x:f>
        <x:v>0.11851851851851852</x:v>
      </x:c>
      <x:c r="P20" s="82">
        <x:f>(O20-N20)*100</x:f>
        <x:v>-0.37933094384707267</x:v>
      </x:c>
      <x:c r="Q20" s="79">
        <x:v>7</x:v>
      </x:c>
      <x:c r="R20" s="79">
        <x:v>7</x:v>
      </x:c>
      <x:c r="S20" s="81">
        <x:f>IF(C20=0,"n.a.",Q20/C20)</x:f>
        <x:v>0.009408602150537635</x:v>
      </x:c>
      <x:c r="T20" s="81">
        <x:f>IF(F20=0,"n.a.",R20/F20)</x:f>
        <x:v>0.01037037037037037</x:v>
      </x:c>
      <x:c r="U20" s="82">
        <x:f>(T20-S20)*100</x:f>
        <x:v>0.09617682198327354</x:v>
      </x:c>
    </x:row>
    <x:row r="21" ht="24" customHeight="1">
      <x:c r="A21" s="77" t="inlineStr">
        <x:is>
          <x:t xml:space="preserve">SPD</x:t>
        </x:is>
      </x:c>
      <x:c r="B21" s="78" t="n">
        <x:v>2019</x:v>
      </x:c>
      <x:c r="C21" s="79">
        <x:v>554</x:v>
      </x:c>
      <x:c r="D21" s="79">
        <x:v>80</x:v>
      </x:c>
      <x:c r="E21" s="80">
        <x:f>IF(C21=0,"n.a.",D21/C21)</x:f>
        <x:v>0.1444043321299639</x:v>
      </x:c>
      <x:c r="F21" s="79">
        <x:f>C21-D21</x:f>
        <x:v>474</x:v>
      </x:c>
      <x:c r="G21" s="79">
        <x:v>190</x:v>
      </x:c>
      <x:c r="H21" s="79">
        <x:v>151</x:v>
      </x:c>
      <x:c r="I21" s="81">
        <x:f>IF(C21=0,"n.a.",G21/C21)</x:f>
        <x:v>0.34296028880866425</x:v>
      </x:c>
      <x:c r="J21" s="81">
        <x:f>IF(F21=0,"n.a.",H21/F21)</x:f>
        <x:v>0.31856540084388185</x:v>
      </x:c>
      <x:c r="K21" s="82">
        <x:f>(J21-I21)*100</x:f>
        <x:v>-2.4394887964782397</x:v>
      </x:c>
      <x:c r="L21" s="79">
        <x:v>63</x:v>
      </x:c>
      <x:c r="M21" s="79">
        <x:v>54</x:v>
      </x:c>
      <x:c r="N21" s="81">
        <x:f>IF(C21=0,"n.a.",L21/C21)</x:f>
        <x:v>0.11371841155234658</x:v>
      </x:c>
      <x:c r="O21" s="81">
        <x:f>IF(F21=0,"n.a.",M21/F21)</x:f>
        <x:v>0.11392405063291139</x:v>
      </x:c>
      <x:c r="P21" s="82">
        <x:f>(O21-N21)*100</x:f>
        <x:v>0.020563908056481228</x:v>
      </x:c>
      <x:c r="Q21" s="79">
        <x:v>9</x:v>
      </x:c>
      <x:c r="R21" s="79">
        <x:v>7</x:v>
      </x:c>
      <x:c r="S21" s="81">
        <x:f>IF(C21=0,"n.a.",Q21/C21)</x:f>
        <x:v>0.016245487364620937</x:v>
      </x:c>
      <x:c r="T21" s="81">
        <x:f>IF(F21=0,"n.a.",R21/F21)</x:f>
        <x:v>0.014767932489451477</x:v>
      </x:c>
      <x:c r="U21" s="82">
        <x:f>(T21-S21)*100</x:f>
        <x:v>-0.147755487516946</x:v>
      </x:c>
    </x:row>
    <x:row r="22" ht="24" customHeight="1">
      <x:c r="A22" s="77" t="inlineStr">
        <x:is>
          <x:t xml:space="preserve">SPD</x:t>
        </x:is>
      </x:c>
      <x:c r="B22" s="78" t="n">
        <x:v>2020</x:v>
      </x:c>
      <x:c r="C22" s="79">
        <x:v>538</x:v>
      </x:c>
      <x:c r="D22" s="79">
        <x:v>50</x:v>
      </x:c>
      <x:c r="E22" s="80">
        <x:f>IF(C22=0,"n.a.",D22/C22)</x:f>
        <x:v>0.09293680297397769</x:v>
      </x:c>
      <x:c r="F22" s="79">
        <x:f>C22-D22</x:f>
        <x:v>488</x:v>
      </x:c>
      <x:c r="G22" s="79">
        <x:v>102</x:v>
      </x:c>
      <x:c r="H22" s="79">
        <x:v>98</x:v>
      </x:c>
      <x:c r="I22" s="81">
        <x:f>IF(C22=0,"n.a.",G22/C22)</x:f>
        <x:v>0.1895910780669145</x:v>
      </x:c>
      <x:c r="J22" s="81">
        <x:f>IF(F22=0,"n.a.",H22/F22)</x:f>
        <x:v>0.20081967213114754</x:v>
      </x:c>
      <x:c r="K22" s="82">
        <x:f>(J22-I22)*100</x:f>
        <x:v>1.1228594064233044</x:v>
      </x:c>
      <x:c r="L22" s="79">
        <x:v>70</x:v>
      </x:c>
      <x:c r="M22" s="79">
        <x:v>64</x:v>
      </x:c>
      <x:c r="N22" s="81">
        <x:f>IF(C22=0,"n.a.",L22/C22)</x:f>
        <x:v>0.13011152416356878</x:v>
      </x:c>
      <x:c r="O22" s="81">
        <x:f>IF(F22=0,"n.a.",M22/F22)</x:f>
        <x:v>0.13114754098360656</x:v>
      </x:c>
      <x:c r="P22" s="82">
        <x:f>(O22-N22)*100</x:f>
        <x:v>0.10360168200377884</x:v>
      </x:c>
      <x:c r="Q22" s="79">
        <x:v>14</x:v>
      </x:c>
      <x:c r="R22" s="79">
        <x:v>14</x:v>
      </x:c>
      <x:c r="S22" s="81">
        <x:f>IF(C22=0,"n.a.",Q22/C22)</x:f>
        <x:v>0.026022304832713755</x:v>
      </x:c>
      <x:c r="T22" s="81">
        <x:f>IF(F22=0,"n.a.",R22/F22)</x:f>
        <x:v>0.028688524590163935</x:v>
      </x:c>
      <x:c r="U22" s="82">
        <x:f>(T22-S22)*100</x:f>
        <x:v>0.266621975745018</x:v>
      </x:c>
    </x:row>
    <x:row r="23" ht="24" customHeight="1">
      <x:c r="A23" s="77" t="inlineStr">
        <x:is>
          <x:t xml:space="preserve">SPD</x:t>
        </x:is>
      </x:c>
      <x:c r="B23" s="78" t="n">
        <x:v>2021</x:v>
      </x:c>
      <x:c r="C23" s="79">
        <x:v>392</x:v>
      </x:c>
      <x:c r="D23" s="79">
        <x:v>101</x:v>
      </x:c>
      <x:c r="E23" s="80">
        <x:f>IF(C23=0,"n.a.",D23/C23)</x:f>
        <x:v>0.2576530612244898</x:v>
      </x:c>
      <x:c r="F23" s="79">
        <x:f>C23-D23</x:f>
        <x:v>291</x:v>
      </x:c>
      <x:c r="G23" s="79">
        <x:v>139</x:v>
      </x:c>
      <x:c r="H23" s="79">
        <x:v>99</x:v>
      </x:c>
      <x:c r="I23" s="81">
        <x:f>IF(C23=0,"n.a.",G23/C23)</x:f>
        <x:v>0.35459183673469385</x:v>
      </x:c>
      <x:c r="J23" s="81">
        <x:f>IF(F23=0,"n.a.",H23/F23)</x:f>
        <x:v>0.3402061855670103</x:v>
      </x:c>
      <x:c r="K23" s="82">
        <x:f>(J23-I23)*100</x:f>
        <x:v>-1.4385651167683533</x:v>
      </x:c>
      <x:c r="L23" s="79">
        <x:v>75</x:v>
      </x:c>
      <x:c r="M23" s="79">
        <x:v>59</x:v>
      </x:c>
      <x:c r="N23" s="81">
        <x:f>IF(C23=0,"n.a.",L23/C23)</x:f>
        <x:v>0.1913265306122449</x:v>
      </x:c>
      <x:c r="O23" s="81">
        <x:f>IF(F23=0,"n.a.",M23/F23)</x:f>
        <x:v>0.2027491408934708</x:v>
      </x:c>
      <x:c r="P23" s="82">
        <x:f>(O23-N23)*100</x:f>
        <x:v>1.1422610281225904</x:v>
      </x:c>
      <x:c r="Q23" s="79">
        <x:v>3</x:v>
      </x:c>
      <x:c r="R23" s="79">
        <x:v>3</x:v>
      </x:c>
      <x:c r="S23" s="81">
        <x:f>IF(C23=0,"n.a.",Q23/C23)</x:f>
        <x:v>0.007653061224489796</x:v>
      </x:c>
      <x:c r="T23" s="81">
        <x:f>IF(F23=0,"n.a.",R23/F23)</x:f>
        <x:v>0.010309278350515464</x:v>
      </x:c>
      <x:c r="U23" s="82">
        <x:f>(T23-S23)*100</x:f>
        <x:v>0.2656217126025668</x:v>
      </x:c>
    </x:row>
    <x:row r="24" ht="24" customHeight="1">
      <x:c r="A24" s="77" t="inlineStr">
        <x:is>
          <x:t xml:space="preserve">SPD</x:t>
        </x:is>
      </x:c>
      <x:c r="B24" s="78" t="n">
        <x:v>2022</x:v>
      </x:c>
      <x:c r="C24" s="79">
        <x:v>975</x:v>
      </x:c>
      <x:c r="D24" s="79">
        <x:v>49</x:v>
      </x:c>
      <x:c r="E24" s="80">
        <x:f>IF(C24=0,"n.a.",D24/C24)</x:f>
        <x:v>0.050256410256410255</x:v>
      </x:c>
      <x:c r="F24" s="79">
        <x:f>C24-D24</x:f>
        <x:v>926</x:v>
      </x:c>
      <x:c r="G24" s="79">
        <x:v>241</x:v>
      </x:c>
      <x:c r="H24" s="79">
        <x:v>235</x:v>
      </x:c>
      <x:c r="I24" s="81">
        <x:f>IF(C24=0,"n.a.",G24/C24)</x:f>
        <x:v>0.24717948717948718</x:v>
      </x:c>
      <x:c r="J24" s="81">
        <x:f>IF(F24=0,"n.a.",H24/F24)</x:f>
        <x:v>0.25377969762419006</x:v>
      </x:c>
      <x:c r="K24" s="82">
        <x:f>(J24-I24)*100</x:f>
        <x:v>0.6600210444702881</x:v>
      </x:c>
      <x:c r="L24" s="79">
        <x:v>256</x:v>
      </x:c>
      <x:c r="M24" s="79">
        <x:v>238</x:v>
      </x:c>
      <x:c r="N24" s="81">
        <x:f>IF(C24=0,"n.a.",L24/C24)</x:f>
        <x:v>0.26256410256410256</x:v>
      </x:c>
      <x:c r="O24" s="81">
        <x:f>IF(F24=0,"n.a.",M24/F24)</x:f>
        <x:v>0.2570194384449244</x:v>
      </x:c>
      <x:c r="P24" s="82">
        <x:f>(O24-N24)*100</x:f>
        <x:v>-0.5544664119178144</x:v>
      </x:c>
      <x:c r="Q24" s="79">
        <x:v>97</x:v>
      </x:c>
      <x:c r="R24" s="79">
        <x:v>81</x:v>
      </x:c>
      <x:c r="S24" s="81">
        <x:f>IF(C24=0,"n.a.",Q24/C24)</x:f>
        <x:v>0.09948717948717949</x:v>
      </x:c>
      <x:c r="T24" s="81">
        <x:f>IF(F24=0,"n.a.",R24/F24)</x:f>
        <x:v>0.08747300215982722</x:v>
      </x:c>
      <x:c r="U24" s="82">
        <x:f>(T24-S24)*100</x:f>
        <x:v>-1.2014177327352271</x:v>
      </x:c>
    </x:row>
    <x:row r="25" ht="24" customHeight="1">
      <x:c r="A25" s="77" t="inlineStr">
        <x:is>
          <x:t xml:space="preserve">SPD</x:t>
        </x:is>
      </x:c>
      <x:c r="B25" s="78" t="n">
        <x:v>2023</x:v>
      </x:c>
      <x:c r="C25" s="79">
        <x:v>915</x:v>
      </x:c>
      <x:c r="D25" s="79">
        <x:v>71</x:v>
      </x:c>
      <x:c r="E25" s="80">
        <x:f>IF(C25=0,"n.a.",D25/C25)</x:f>
        <x:v>0.07759562841530054</x:v>
      </x:c>
      <x:c r="F25" s="79">
        <x:f>C25-D25</x:f>
        <x:v>844</x:v>
      </x:c>
      <x:c r="G25" s="79">
        <x:v>281</x:v>
      </x:c>
      <x:c r="H25" s="79">
        <x:v>261</x:v>
      </x:c>
      <x:c r="I25" s="81">
        <x:f>IF(C25=0,"n.a.",G25/C25)</x:f>
        <x:v>0.307103825136612</x:v>
      </x:c>
      <x:c r="J25" s="81">
        <x:f>IF(F25=0,"n.a.",H25/F25)</x:f>
        <x:v>0.30924170616113744</x:v>
      </x:c>
      <x:c r="K25" s="82">
        <x:f>(J25-I25)*100</x:f>
        <x:v>0.21378810245254454</x:v>
      </x:c>
      <x:c r="L25" s="79">
        <x:v>164</x:v>
      </x:c>
      <x:c r="M25" s="79">
        <x:v>153</x:v>
      </x:c>
      <x:c r="N25" s="81">
        <x:f>IF(C25=0,"n.a.",L25/C25)</x:f>
        <x:v>0.17923497267759564</x:v>
      </x:c>
      <x:c r="O25" s="81">
        <x:f>IF(F25=0,"n.a.",M25/F25)</x:f>
        <x:v>0.18127962085308058</x:v>
      </x:c>
      <x:c r="P25" s="82">
        <x:f>(O25-N25)*100</x:f>
        <x:v>0.20446481754849422</x:v>
      </x:c>
      <x:c r="Q25" s="79">
        <x:v>74</x:v>
      </x:c>
      <x:c r="R25" s="79">
        <x:v>61</x:v>
      </x:c>
      <x:c r="S25" s="81">
        <x:f>IF(C25=0,"n.a.",Q25/C25)</x:f>
        <x:v>0.08087431693989071</x:v>
      </x:c>
      <x:c r="T25" s="81">
        <x:f>IF(F25=0,"n.a.",R25/F25)</x:f>
        <x:v>0.07227488151658767</x:v>
      </x:c>
      <x:c r="U25" s="82">
        <x:f>(T25-S25)*100</x:f>
        <x:v>-0.8599435423303035</x:v>
      </x:c>
    </x:row>
    <x:row r="26" ht="24" customHeight="1">
      <x:c r="A26" s="77" t="inlineStr">
        <x:is>
          <x:t xml:space="preserve">SPD</x:t>
        </x:is>
      </x:c>
      <x:c r="B26" s="78" t="n">
        <x:v>2024</x:v>
      </x:c>
      <x:c r="C26" s="79">
        <x:v>1037</x:v>
      </x:c>
      <x:c r="D26" s="79">
        <x:v>7</x:v>
      </x:c>
      <x:c r="E26" s="80">
        <x:f>IF(C26=0,"n.a.",D26/C26)</x:f>
        <x:v>0.006750241080038573</x:v>
      </x:c>
      <x:c r="F26" s="79">
        <x:f>C26-D26</x:f>
        <x:v>1030</x:v>
      </x:c>
      <x:c r="G26" s="79">
        <x:v>210</x:v>
      </x:c>
      <x:c r="H26" s="79">
        <x:v>209</x:v>
      </x:c>
      <x:c r="I26" s="81">
        <x:f>IF(C26=0,"n.a.",G26/C26)</x:f>
        <x:v>0.20250723240115717</x:v>
      </x:c>
      <x:c r="J26" s="81">
        <x:f>IF(F26=0,"n.a.",H26/F26)</x:f>
        <x:v>0.2029126213592233</x:v>
      </x:c>
      <x:c r="K26" s="82">
        <x:f>(J26-I26)*100</x:f>
        <x:v>0.040538895806613295</x:v>
      </x:c>
      <x:c r="L26" s="79">
        <x:v>256</x:v>
      </x:c>
      <x:c r="M26" s="79">
        <x:v>253</x:v>
      </x:c>
      <x:c r="N26" s="81">
        <x:f>IF(C26=0,"n.a.",L26/C26)</x:f>
        <x:v>0.24686595949855353</x:v>
      </x:c>
      <x:c r="O26" s="81">
        <x:f>IF(F26=0,"n.a.",M26/F26)</x:f>
        <x:v>0.24563106796116504</x:v>
      </x:c>
      <x:c r="P26" s="82">
        <x:f>(O26-N26)*100</x:f>
        <x:v>-0.12348915373884828</x:v>
      </x:c>
      <x:c r="Q26" s="79">
        <x:v>26</x:v>
      </x:c>
      <x:c r="R26" s="79">
        <x:v>26</x:v>
      </x:c>
      <x:c r="S26" s="81">
        <x:f>IF(C26=0,"n.a.",Q26/C26)</x:f>
        <x:v>0.02507232401157184</x:v>
      </x:c>
      <x:c r="T26" s="81">
        <x:f>IF(F26=0,"n.a.",R26/F26)</x:f>
        <x:v>0.02524271844660194</x:v>
      </x:c>
      <x:c r="U26" s="82">
        <x:f>(T26-S26)*100</x:f>
        <x:v>0.017039443503009954</x:v>
      </x:c>
    </x:row>
    <x:row r="27" ht="24" customHeight="1">
      <x:c r="A27" s="77" t="inlineStr">
        <x:is>
          <x:t xml:space="preserve">SPD</x:t>
        </x:is>
      </x:c>
      <x:c r="B27" s="78" t="n">
        <x:v>2025</x:v>
      </x:c>
      <x:c r="C27" s="79">
        <x:v>411</x:v>
      </x:c>
      <x:c r="D27" s="79">
        <x:v>31</x:v>
      </x:c>
      <x:c r="E27" s="80">
        <x:f>IF(C27=0,"n.a.",D27/C27)</x:f>
        <x:v>0.07542579075425791</x:v>
      </x:c>
      <x:c r="F27" s="79">
        <x:f>C27-D27</x:f>
        <x:v>380</x:v>
      </x:c>
      <x:c r="G27" s="79">
        <x:v>131</x:v>
      </x:c>
      <x:c r="H27" s="79">
        <x:v>122</x:v>
      </x:c>
      <x:c r="I27" s="81">
        <x:f>IF(C27=0,"n.a.",G27/C27)</x:f>
        <x:v>0.31873479318734793</x:v>
      </x:c>
      <x:c r="J27" s="81">
        <x:f>IF(F27=0,"n.a.",H27/F27)</x:f>
        <x:v>0.32105263157894737</x:v>
      </x:c>
      <x:c r="K27" s="82">
        <x:f>(J27-I27)*100</x:f>
        <x:v>0.2317838391599436</x:v>
      </x:c>
      <x:c r="L27" s="79">
        <x:v>98</x:v>
      </x:c>
      <x:c r="M27" s="79">
        <x:v>92</x:v>
      </x:c>
      <x:c r="N27" s="81">
        <x:f>IF(C27=0,"n.a.",L27/C27)</x:f>
        <x:v>0.2384428223844282</x:v>
      </x:c>
      <x:c r="O27" s="81">
        <x:f>IF(F27=0,"n.a.",M27/F27)</x:f>
        <x:v>0.24210526315789474</x:v>
      </x:c>
      <x:c r="P27" s="82">
        <x:f>(O27-N27)*100</x:f>
        <x:v>0.366244077346653</x:v>
      </x:c>
      <x:c r="Q27" s="79">
        <x:v>17</x:v>
      </x:c>
      <x:c r="R27" s="79">
        <x:v>15</x:v>
      </x:c>
      <x:c r="S27" s="81">
        <x:f>IF(C27=0,"n.a.",Q27/C27)</x:f>
        <x:v>0.0413625304136253</x:v>
      </x:c>
      <x:c r="T27" s="81">
        <x:f>IF(F27=0,"n.a.",R27/F27)</x:f>
        <x:v>0.039473684210526314</x:v>
      </x:c>
      <x:c r="U27" s="82">
        <x:f>(T27-S27)*100</x:f>
        <x:v>-0.18888462030989886</x:v>
      </x:c>
    </x:row>
    <x:row r="28" ht="24" customHeight="1">
      <x:c r="A28" s="77" t="inlineStr">
        <x:is>
          <x:t xml:space="preserve">Grüne</x:t>
        </x:is>
      </x:c>
      <x:c r="B28" s="78" t="n">
        <x:v>2018</x:v>
      </x:c>
      <x:c r="C28" s="79">
        <x:v>320</x:v>
      </x:c>
      <x:c r="D28" s="79">
        <x:v>0</x:v>
      </x:c>
      <x:c r="E28" s="80">
        <x:f>IF(C28=0,"n.a.",D28/C28)</x:f>
        <x:v>0.0</x:v>
      </x:c>
      <x:c r="F28" s="79">
        <x:f>C28-D28</x:f>
        <x:v>320</x:v>
      </x:c>
      <x:c r="G28" s="79">
        <x:v>122</x:v>
      </x:c>
      <x:c r="H28" s="79">
        <x:v>122</x:v>
      </x:c>
      <x:c r="I28" s="81">
        <x:f>IF(C28=0,"n.a.",G28/C28)</x:f>
        <x:v>0.38125</x:v>
      </x:c>
      <x:c r="J28" s="81">
        <x:f>IF(F28=0,"n.a.",H28/F28)</x:f>
        <x:v>0.38125</x:v>
      </x:c>
      <x:c r="K28" s="82">
        <x:f>(J28-I28)*100</x:f>
        <x:v>0.0</x:v>
      </x:c>
      <x:c r="L28" s="79">
        <x:v>49</x:v>
      </x:c>
      <x:c r="M28" s="79">
        <x:v>49</x:v>
      </x:c>
      <x:c r="N28" s="81">
        <x:f>IF(C28=0,"n.a.",L28/C28)</x:f>
        <x:v>0.153125</x:v>
      </x:c>
      <x:c r="O28" s="81">
        <x:f>IF(F28=0,"n.a.",M28/F28)</x:f>
        <x:v>0.153125</x:v>
      </x:c>
      <x:c r="P28" s="82">
        <x:f>(O28-N28)*100</x:f>
        <x:v>0.0</x:v>
      </x:c>
      <x:c r="Q28" s="79">
        <x:v>3</x:v>
      </x:c>
      <x:c r="R28" s="79">
        <x:v>3</x:v>
      </x:c>
      <x:c r="S28" s="81">
        <x:f>IF(C28=0,"n.a.",Q28/C28)</x:f>
        <x:v>0.009375</x:v>
      </x:c>
      <x:c r="T28" s="81">
        <x:f>IF(F28=0,"n.a.",R28/F28)</x:f>
        <x:v>0.009375</x:v>
      </x:c>
      <x:c r="U28" s="82">
        <x:f>(T28-S28)*100</x:f>
        <x:v>0.0</x:v>
      </x:c>
    </x:row>
    <x:row r="29" ht="24" customHeight="1">
      <x:c r="A29" s="77" t="inlineStr">
        <x:is>
          <x:t xml:space="preserve">Grüne</x:t>
        </x:is>
      </x:c>
      <x:c r="B29" s="78" t="n">
        <x:v>2019</x:v>
      </x:c>
      <x:c r="C29" s="79">
        <x:v>329</x:v>
      </x:c>
      <x:c r="D29" s="79">
        <x:v>0</x:v>
      </x:c>
      <x:c r="E29" s="80">
        <x:f>IF(C29=0,"n.a.",D29/C29)</x:f>
        <x:v>0.0</x:v>
      </x:c>
      <x:c r="F29" s="79">
        <x:f>C29-D29</x:f>
        <x:v>329</x:v>
      </x:c>
      <x:c r="G29" s="79">
        <x:v>118</x:v>
      </x:c>
      <x:c r="H29" s="79">
        <x:v>118</x:v>
      </x:c>
      <x:c r="I29" s="81">
        <x:f>IF(C29=0,"n.a.",G29/C29)</x:f>
        <x:v>0.3586626139817629</x:v>
      </x:c>
      <x:c r="J29" s="81">
        <x:f>IF(F29=0,"n.a.",H29/F29)</x:f>
        <x:v>0.3586626139817629</x:v>
      </x:c>
      <x:c r="K29" s="82">
        <x:f>(J29-I29)*100</x:f>
        <x:v>0.0</x:v>
      </x:c>
      <x:c r="L29" s="79">
        <x:v>49</x:v>
      </x:c>
      <x:c r="M29" s="79">
        <x:v>49</x:v>
      </x:c>
      <x:c r="N29" s="81">
        <x:f>IF(C29=0,"n.a.",L29/C29)</x:f>
        <x:v>0.14893617021276595</x:v>
      </x:c>
      <x:c r="O29" s="81">
        <x:f>IF(F29=0,"n.a.",M29/F29)</x:f>
        <x:v>0.14893617021276595</x:v>
      </x:c>
      <x:c r="P29" s="82">
        <x:f>(O29-N29)*100</x:f>
        <x:v>0.0</x:v>
      </x:c>
      <x:c r="Q29" s="79">
        <x:v>7</x:v>
      </x:c>
      <x:c r="R29" s="79">
        <x:v>7</x:v>
      </x:c>
      <x:c r="S29" s="81">
        <x:f>IF(C29=0,"n.a.",Q29/C29)</x:f>
        <x:v>0.02127659574468085</x:v>
      </x:c>
      <x:c r="T29" s="81">
        <x:f>IF(F29=0,"n.a.",R29/F29)</x:f>
        <x:v>0.02127659574468085</x:v>
      </x:c>
      <x:c r="U29" s="82">
        <x:f>(T29-S29)*100</x:f>
        <x:v>0.0</x:v>
      </x:c>
    </x:row>
    <x:row r="30" ht="24" customHeight="1">
      <x:c r="A30" s="77" t="inlineStr">
        <x:is>
          <x:t xml:space="preserve">Grüne</x:t>
        </x:is>
      </x:c>
      <x:c r="B30" s="78" t="n">
        <x:v>2020</x:v>
      </x:c>
      <x:c r="C30" s="79">
        <x:v>330</x:v>
      </x:c>
      <x:c r="D30" s="79">
        <x:v>0</x:v>
      </x:c>
      <x:c r="E30" s="80">
        <x:f>IF(C30=0,"n.a.",D30/C30)</x:f>
        <x:v>0.0</x:v>
      </x:c>
      <x:c r="F30" s="79">
        <x:f>C30-D30</x:f>
        <x:v>330</x:v>
      </x:c>
      <x:c r="G30" s="79">
        <x:v>111</x:v>
      </x:c>
      <x:c r="H30" s="79">
        <x:v>111</x:v>
      </x:c>
      <x:c r="I30" s="81">
        <x:f>IF(C30=0,"n.a.",G30/C30)</x:f>
        <x:v>0.33636363636363636</x:v>
      </x:c>
      <x:c r="J30" s="81">
        <x:f>IF(F30=0,"n.a.",H30/F30)</x:f>
        <x:v>0.33636363636363636</x:v>
      </x:c>
      <x:c r="K30" s="82">
        <x:f>(J30-I30)*100</x:f>
        <x:v>0.0</x:v>
      </x:c>
      <x:c r="L30" s="79">
        <x:v>59</x:v>
      </x:c>
      <x:c r="M30" s="79">
        <x:v>59</x:v>
      </x:c>
      <x:c r="N30" s="81">
        <x:f>IF(C30=0,"n.a.",L30/C30)</x:f>
        <x:v>0.1787878787878788</x:v>
      </x:c>
      <x:c r="O30" s="81">
        <x:f>IF(F30=0,"n.a.",M30/F30)</x:f>
        <x:v>0.1787878787878788</x:v>
      </x:c>
      <x:c r="P30" s="82">
        <x:f>(O30-N30)*100</x:f>
        <x:v>0.0</x:v>
      </x:c>
      <x:c r="Q30" s="79">
        <x:v>8</x:v>
      </x:c>
      <x:c r="R30" s="79">
        <x:v>8</x:v>
      </x:c>
      <x:c r="S30" s="81">
        <x:f>IF(C30=0,"n.a.",Q30/C30)</x:f>
        <x:v>0.024242424242424242</x:v>
      </x:c>
      <x:c r="T30" s="81">
        <x:f>IF(F30=0,"n.a.",R30/F30)</x:f>
        <x:v>0.024242424242424242</x:v>
      </x:c>
      <x:c r="U30" s="82">
        <x:f>(T30-S30)*100</x:f>
        <x:v>0.0</x:v>
      </x:c>
    </x:row>
    <x:row r="31" ht="24" customHeight="1">
      <x:c r="A31" s="77" t="inlineStr">
        <x:is>
          <x:t xml:space="preserve">Grüne</x:t>
        </x:is>
      </x:c>
      <x:c r="B31" s="78" t="n">
        <x:v>2021</x:v>
      </x:c>
      <x:c r="C31" s="79">
        <x:v>258</x:v>
      </x:c>
      <x:c r="D31" s="79">
        <x:v>0</x:v>
      </x:c>
      <x:c r="E31" s="80">
        <x:f>IF(C31=0,"n.a.",D31/C31)</x:f>
        <x:v>0.0</x:v>
      </x:c>
      <x:c r="F31" s="79">
        <x:f>C31-D31</x:f>
        <x:v>258</x:v>
      </x:c>
      <x:c r="G31" s="79">
        <x:v>95</x:v>
      </x:c>
      <x:c r="H31" s="79">
        <x:v>95</x:v>
      </x:c>
      <x:c r="I31" s="81">
        <x:f>IF(C31=0,"n.a.",G31/C31)</x:f>
        <x:v>0.3682170542635659</x:v>
      </x:c>
      <x:c r="J31" s="81">
        <x:f>IF(F31=0,"n.a.",H31/F31)</x:f>
        <x:v>0.3682170542635659</x:v>
      </x:c>
      <x:c r="K31" s="82">
        <x:f>(J31-I31)*100</x:f>
        <x:v>0.0</x:v>
      </x:c>
      <x:c r="L31" s="79">
        <x:v>54</x:v>
      </x:c>
      <x:c r="M31" s="79">
        <x:v>54</x:v>
      </x:c>
      <x:c r="N31" s="81">
        <x:f>IF(C31=0,"n.a.",L31/C31)</x:f>
        <x:v>0.20930232558139536</x:v>
      </x:c>
      <x:c r="O31" s="81">
        <x:f>IF(F31=0,"n.a.",M31/F31)</x:f>
        <x:v>0.20930232558139536</x:v>
      </x:c>
      <x:c r="P31" s="82">
        <x:f>(O31-N31)*100</x:f>
        <x:v>0.0</x:v>
      </x:c>
      <x:c r="Q31" s="79">
        <x:v>2</x:v>
      </x:c>
      <x:c r="R31" s="79">
        <x:v>2</x:v>
      </x:c>
      <x:c r="S31" s="81">
        <x:f>IF(C31=0,"n.a.",Q31/C31)</x:f>
        <x:v>0.007751937984496124</x:v>
      </x:c>
      <x:c r="T31" s="81">
        <x:f>IF(F31=0,"n.a.",R31/F31)</x:f>
        <x:v>0.007751937984496124</x:v>
      </x:c>
      <x:c r="U31" s="82">
        <x:f>(T31-S31)*100</x:f>
        <x:v>0.0</x:v>
      </x:c>
    </x:row>
    <x:row r="32" ht="24" customHeight="1">
      <x:c r="A32" s="77" t="inlineStr">
        <x:is>
          <x:t xml:space="preserve">Grüne</x:t>
        </x:is>
      </x:c>
      <x:c r="B32" s="78" t="n">
        <x:v>2022</x:v>
      </x:c>
      <x:c r="C32" s="79">
        <x:v>766</x:v>
      </x:c>
      <x:c r="D32" s="79">
        <x:v>279</x:v>
      </x:c>
      <x:c r="E32" s="80">
        <x:f>IF(C32=0,"n.a.",D32/C32)</x:f>
        <x:v>0.3642297650130548</x:v>
      </x:c>
      <x:c r="F32" s="79">
        <x:f>C32-D32</x:f>
        <x:v>487</x:v>
      </x:c>
      <x:c r="G32" s="79">
        <x:v>242</x:v>
      </x:c>
      <x:c r="H32" s="79">
        <x:v>153</x:v>
      </x:c>
      <x:c r="I32" s="81">
        <x:f>IF(C32=0,"n.a.",G32/C32)</x:f>
        <x:v>0.31592689295039167</x:v>
      </x:c>
      <x:c r="J32" s="81">
        <x:f>IF(F32=0,"n.a.",H32/F32)</x:f>
        <x:v>0.3141683778234086</x:v>
      </x:c>
      <x:c r="K32" s="82">
        <x:f>(J32-I32)*100</x:f>
        <x:v>-0.17585151269830512</x:v>
      </x:c>
      <x:c r="L32" s="79">
        <x:v>208</x:v>
      </x:c>
      <x:c r="M32" s="79">
        <x:v>139</x:v>
      </x:c>
      <x:c r="N32" s="81">
        <x:f>IF(C32=0,"n.a.",L32/C32)</x:f>
        <x:v>0.27154046997389036</x:v>
      </x:c>
      <x:c r="O32" s="81">
        <x:f>IF(F32=0,"n.a.",M32/F32)</x:f>
        <x:v>0.28542094455852157</x:v>
      </x:c>
      <x:c r="P32" s="82">
        <x:f>(O32-N32)*100</x:f>
        <x:v>1.3880474584631208</x:v>
      </x:c>
      <x:c r="Q32" s="79">
        <x:v>102</x:v>
      </x:c>
      <x:c r="R32" s="79">
        <x:v>67</x:v>
      </x:c>
      <x:c r="S32" s="81">
        <x:f>IF(C32=0,"n.a.",Q32/C32)</x:f>
        <x:v>0.13315926892950392</x:v>
      </x:c>
      <x:c r="T32" s="81">
        <x:f>IF(F32=0,"n.a.",R32/F32)</x:f>
        <x:v>0.1375770020533881</x:v>
      </x:c>
      <x:c r="U32" s="82">
        <x:f>(T32-S32)*100</x:f>
        <x:v>0.44177331238841877</x:v>
      </x:c>
    </x:row>
    <x:row r="33" ht="24" customHeight="1">
      <x:c r="A33" s="77" t="inlineStr">
        <x:is>
          <x:t xml:space="preserve">Grüne</x:t>
        </x:is>
      </x:c>
      <x:c r="B33" s="78" t="n">
        <x:v>2023</x:v>
      </x:c>
      <x:c r="C33" s="79">
        <x:v>663</x:v>
      </x:c>
      <x:c r="D33" s="79">
        <x:v>238</x:v>
      </x:c>
      <x:c r="E33" s="80">
        <x:f>IF(C33=0,"n.a.",D33/C33)</x:f>
        <x:v>0.358974358974359</x:v>
      </x:c>
      <x:c r="F33" s="79">
        <x:f>C33-D33</x:f>
        <x:v>425</x:v>
      </x:c>
      <x:c r="G33" s="79">
        <x:v>212</x:v>
      </x:c>
      <x:c r="H33" s="79">
        <x:v>140</x:v>
      </x:c>
      <x:c r="I33" s="81">
        <x:f>IF(C33=0,"n.a.",G33/C33)</x:f>
        <x:v>0.31975867269984914</x:v>
      </x:c>
      <x:c r="J33" s="81">
        <x:f>IF(F33=0,"n.a.",H33/F33)</x:f>
        <x:v>0.32941176470588235</x:v>
      </x:c>
      <x:c r="K33" s="82">
        <x:f>(J33-I33)*100</x:f>
        <x:v>0.9653092006033204</x:v>
      </x:c>
      <x:c r="L33" s="79">
        <x:v>130</x:v>
      </x:c>
      <x:c r="M33" s="79">
        <x:v>89</x:v>
      </x:c>
      <x:c r="N33" s="81">
        <x:f>IF(C33=0,"n.a.",L33/C33)</x:f>
        <x:v>0.19607843137254902</x:v>
      </x:c>
      <x:c r="O33" s="81">
        <x:f>IF(F33=0,"n.a.",M33/F33)</x:f>
        <x:v>0.20941176470588235</x:v>
      </x:c>
      <x:c r="P33" s="82">
        <x:f>(O33-N33)*100</x:f>
        <x:v>1.3333333333333335</x:v>
      </x:c>
      <x:c r="Q33" s="79">
        <x:v>42</x:v>
      </x:c>
      <x:c r="R33" s="79">
        <x:v>29</x:v>
      </x:c>
      <x:c r="S33" s="81">
        <x:f>IF(C33=0,"n.a.",Q33/C33)</x:f>
        <x:v>0.06334841628959276</x:v>
      </x:c>
      <x:c r="T33" s="81">
        <x:f>IF(F33=0,"n.a.",R33/F33)</x:f>
        <x:v>0.06823529411764706</x:v>
      </x:c>
      <x:c r="U33" s="82">
        <x:f>(T33-S33)*100</x:f>
        <x:v>0.48868778280543035</x:v>
      </x:c>
    </x:row>
    <x:row r="34" ht="24" customHeight="1">
      <x:c r="A34" s="77" t="inlineStr">
        <x:is>
          <x:t xml:space="preserve">Grüne</x:t>
        </x:is>
      </x:c>
      <x:c r="B34" s="78" t="n">
        <x:v>2024</x:v>
      </x:c>
      <x:c r="C34" s="79">
        <x:v>716</x:v>
      </x:c>
      <x:c r="D34" s="79">
        <x:v>221</x:v>
      </x:c>
      <x:c r="E34" s="80">
        <x:f>IF(C34=0,"n.a.",D34/C34)</x:f>
        <x:v>0.308659217877095</x:v>
      </x:c>
      <x:c r="F34" s="79">
        <x:f>C34-D34</x:f>
        <x:v>495</x:v>
      </x:c>
      <x:c r="G34" s="79">
        <x:v>173</x:v>
      </x:c>
      <x:c r="H34" s="79">
        <x:v>116</x:v>
      </x:c>
      <x:c r="I34" s="81">
        <x:f>IF(C34=0,"n.a.",G34/C34)</x:f>
        <x:v>0.24162011173184358</x:v>
      </x:c>
      <x:c r="J34" s="81">
        <x:f>IF(F34=0,"n.a.",H34/F34)</x:f>
        <x:v>0.23434343434343435</x:v>
      </x:c>
      <x:c r="K34" s="82">
        <x:f>(J34-I34)*100</x:f>
        <x:v>-0.7276677388409231</x:v>
      </x:c>
      <x:c r="L34" s="79">
        <x:v>200</x:v>
      </x:c>
      <x:c r="M34" s="79">
        <x:v>137</x:v>
      </x:c>
      <x:c r="N34" s="81">
        <x:f>IF(C34=0,"n.a.",L34/C34)</x:f>
        <x:v>0.27932960893854747</x:v>
      </x:c>
      <x:c r="O34" s="81">
        <x:f>IF(F34=0,"n.a.",M34/F34)</x:f>
        <x:v>0.2767676767676768</x:v>
      </x:c>
      <x:c r="P34" s="82">
        <x:f>(O34-N34)*100</x:f>
        <x:v>-0.25619321708706955</x:v>
      </x:c>
      <x:c r="Q34" s="79">
        <x:v>27</x:v>
      </x:c>
      <x:c r="R34" s="79">
        <x:v>24</x:v>
      </x:c>
      <x:c r="S34" s="81">
        <x:f>IF(C34=0,"n.a.",Q34/C34)</x:f>
        <x:v>0.03770949720670391</x:v>
      </x:c>
      <x:c r="T34" s="81">
        <x:f>IF(F34=0,"n.a.",R34/F34)</x:f>
        <x:v>0.048484848484848485</x:v>
      </x:c>
      <x:c r="U34" s="82">
        <x:f>(T34-S34)*100</x:f>
        <x:v>1.0775351278144571</x:v>
      </x:c>
    </x:row>
    <x:row r="35" ht="24" customHeight="1">
      <x:c r="A35" s="77" t="inlineStr">
        <x:is>
          <x:t xml:space="preserve">Grüne</x:t>
        </x:is>
      </x:c>
      <x:c r="B35" s="78" t="n">
        <x:v>2025</x:v>
      </x:c>
      <x:c r="C35" s="79">
        <x:v>358</x:v>
      </x:c>
      <x:c r="D35" s="79">
        <x:v>62</x:v>
      </x:c>
      <x:c r="E35" s="80">
        <x:f>IF(C35=0,"n.a.",D35/C35)</x:f>
        <x:v>0.17318435754189945</x:v>
      </x:c>
      <x:c r="F35" s="79">
        <x:f>C35-D35</x:f>
        <x:v>296</x:v>
      </x:c>
      <x:c r="G35" s="79">
        <x:v>115</x:v>
      </x:c>
      <x:c r="H35" s="79">
        <x:v>104</x:v>
      </x:c>
      <x:c r="I35" s="81">
        <x:f>IF(C35=0,"n.a.",G35/C35)</x:f>
        <x:v>0.32122905027932963</x:v>
      </x:c>
      <x:c r="J35" s="81">
        <x:f>IF(F35=0,"n.a.",H35/F35)</x:f>
        <x:v>0.35135135135135137</x:v>
      </x:c>
      <x:c r="K35" s="82">
        <x:f>(J35-I35)*100</x:f>
        <x:v>3.012230107202174</x:v>
      </x:c>
      <x:c r="L35" s="79">
        <x:v>79</x:v>
      </x:c>
      <x:c r="M35" s="79">
        <x:v>58</x:v>
      </x:c>
      <x:c r="N35" s="81">
        <x:f>IF(C35=0,"n.a.",L35/C35)</x:f>
        <x:v>0.2206703910614525</x:v>
      </x:c>
      <x:c r="O35" s="81">
        <x:f>IF(F35=0,"n.a.",M35/F35)</x:f>
        <x:v>0.19594594594594594</x:v>
      </x:c>
      <x:c r="P35" s="82">
        <x:f>(O35-N35)*100</x:f>
        <x:v>-2.472444511550656</x:v>
      </x:c>
      <x:c r="Q35" s="79">
        <x:v>15</x:v>
      </x:c>
      <x:c r="R35" s="79">
        <x:v>13</x:v>
      </x:c>
      <x:c r="S35" s="81">
        <x:f>IF(C35=0,"n.a.",Q35/C35)</x:f>
        <x:v>0.04189944134078212</x:v>
      </x:c>
      <x:c r="T35" s="81">
        <x:f>IF(F35=0,"n.a.",R35/F35)</x:f>
        <x:v>0.04391891891891892</x:v>
      </x:c>
      <x:c r="U35" s="82">
        <x:f>(T35-S35)*100</x:f>
        <x:v>0.2019477578136801</x:v>
      </x:c>
    </x:row>
    <x:row r="36" ht="24" customHeight="1">
      <x:c r="A36" s="77" t="inlineStr">
        <x:is>
          <x:t xml:space="preserve">AfD</x:t>
        </x:is>
      </x:c>
      <x:c r="B36" s="78" t="n">
        <x:v>2018</x:v>
      </x:c>
      <x:c r="C36" s="79">
        <x:v>371</x:v>
      </x:c>
      <x:c r="D36" s="79">
        <x:v>0</x:v>
      </x:c>
      <x:c r="E36" s="80">
        <x:f>IF(C36=0,"n.a.",D36/C36)</x:f>
        <x:v>0.0</x:v>
      </x:c>
      <x:c r="F36" s="79">
        <x:f>C36-D36</x:f>
        <x:v>371</x:v>
      </x:c>
      <x:c r="G36" s="79">
        <x:v>109</x:v>
      </x:c>
      <x:c r="H36" s="79">
        <x:v>109</x:v>
      </x:c>
      <x:c r="I36" s="81">
        <x:f>IF(C36=0,"n.a.",G36/C36)</x:f>
        <x:v>0.29380053908355797</x:v>
      </x:c>
      <x:c r="J36" s="81">
        <x:f>IF(F36=0,"n.a.",H36/F36)</x:f>
        <x:v>0.29380053908355797</x:v>
      </x:c>
      <x:c r="K36" s="82">
        <x:f>(J36-I36)*100</x:f>
        <x:v>0.0</x:v>
      </x:c>
      <x:c r="L36" s="79">
        <x:v>77</x:v>
      </x:c>
      <x:c r="M36" s="79">
        <x:v>77</x:v>
      </x:c>
      <x:c r="N36" s="81">
        <x:f>IF(C36=0,"n.a.",L36/C36)</x:f>
        <x:v>0.20754716981132076</x:v>
      </x:c>
      <x:c r="O36" s="81">
        <x:f>IF(F36=0,"n.a.",M36/F36)</x:f>
        <x:v>0.20754716981132076</x:v>
      </x:c>
      <x:c r="P36" s="82">
        <x:f>(O36-N36)*100</x:f>
        <x:v>0.0</x:v>
      </x:c>
      <x:c r="Q36" s="79">
        <x:v>5</x:v>
      </x:c>
      <x:c r="R36" s="79">
        <x:v>5</x:v>
      </x:c>
      <x:c r="S36" s="81">
        <x:f>IF(C36=0,"n.a.",Q36/C36)</x:f>
        <x:v>0.013477088948787063</x:v>
      </x:c>
      <x:c r="T36" s="81">
        <x:f>IF(F36=0,"n.a.",R36/F36)</x:f>
        <x:v>0.013477088948787063</x:v>
      </x:c>
      <x:c r="U36" s="82">
        <x:f>(T36-S36)*100</x:f>
        <x:v>0.0</x:v>
      </x:c>
    </x:row>
    <x:row r="37" ht="24" customHeight="1">
      <x:c r="A37" s="77" t="inlineStr">
        <x:is>
          <x:t xml:space="preserve">AfD</x:t>
        </x:is>
      </x:c>
      <x:c r="B37" s="78" t="n">
        <x:v>2019</x:v>
      </x:c>
      <x:c r="C37" s="79">
        <x:v>345</x:v>
      </x:c>
      <x:c r="D37" s="79">
        <x:v>0</x:v>
      </x:c>
      <x:c r="E37" s="80">
        <x:f>IF(C37=0,"n.a.",D37/C37)</x:f>
        <x:v>0.0</x:v>
      </x:c>
      <x:c r="F37" s="79">
        <x:f>C37-D37</x:f>
        <x:v>345</x:v>
      </x:c>
      <x:c r="G37" s="79">
        <x:v>83</x:v>
      </x:c>
      <x:c r="H37" s="79">
        <x:v>83</x:v>
      </x:c>
      <x:c r="I37" s="81">
        <x:f>IF(C37=0,"n.a.",G37/C37)</x:f>
        <x:v>0.24057971014492754</x:v>
      </x:c>
      <x:c r="J37" s="81">
        <x:f>IF(F37=0,"n.a.",H37/F37)</x:f>
        <x:v>0.24057971014492754</x:v>
      </x:c>
      <x:c r="K37" s="82">
        <x:f>(J37-I37)*100</x:f>
        <x:v>0.0</x:v>
      </x:c>
      <x:c r="L37" s="79">
        <x:v>60</x:v>
      </x:c>
      <x:c r="M37" s="79">
        <x:v>60</x:v>
      </x:c>
      <x:c r="N37" s="81">
        <x:f>IF(C37=0,"n.a.",L37/C37)</x:f>
        <x:v>0.17391304347826086</x:v>
      </x:c>
      <x:c r="O37" s="81">
        <x:f>IF(F37=0,"n.a.",M37/F37)</x:f>
        <x:v>0.17391304347826086</x:v>
      </x:c>
      <x:c r="P37" s="82">
        <x:f>(O37-N37)*100</x:f>
        <x:v>0.0</x:v>
      </x:c>
      <x:c r="Q37" s="79">
        <x:v>6</x:v>
      </x:c>
      <x:c r="R37" s="79">
        <x:v>6</x:v>
      </x:c>
      <x:c r="S37" s="81">
        <x:f>IF(C37=0,"n.a.",Q37/C37)</x:f>
        <x:v>0.017391304347826087</x:v>
      </x:c>
      <x:c r="T37" s="81">
        <x:f>IF(F37=0,"n.a.",R37/F37)</x:f>
        <x:v>0.017391304347826087</x:v>
      </x:c>
      <x:c r="U37" s="82">
        <x:f>(T37-S37)*100</x:f>
        <x:v>0.0</x:v>
      </x:c>
    </x:row>
    <x:row r="38" ht="24" customHeight="1">
      <x:c r="A38" s="77" t="inlineStr">
        <x:is>
          <x:t xml:space="preserve">AfD</x:t>
        </x:is>
      </x:c>
      <x:c r="B38" s="78" t="n">
        <x:v>2020</x:v>
      </x:c>
      <x:c r="C38" s="79">
        <x:v>402</x:v>
      </x:c>
      <x:c r="D38" s="79">
        <x:v>0</x:v>
      </x:c>
      <x:c r="E38" s="80">
        <x:f>IF(C38=0,"n.a.",D38/C38)</x:f>
        <x:v>0.0</x:v>
      </x:c>
      <x:c r="F38" s="79">
        <x:f>C38-D38</x:f>
        <x:v>402</x:v>
      </x:c>
      <x:c r="G38" s="79">
        <x:v>86</x:v>
      </x:c>
      <x:c r="H38" s="79">
        <x:v>86</x:v>
      </x:c>
      <x:c r="I38" s="81">
        <x:f>IF(C38=0,"n.a.",G38/C38)</x:f>
        <x:v>0.21393034825870647</x:v>
      </x:c>
      <x:c r="J38" s="81">
        <x:f>IF(F38=0,"n.a.",H38/F38)</x:f>
        <x:v>0.21393034825870647</x:v>
      </x:c>
      <x:c r="K38" s="82">
        <x:f>(J38-I38)*100</x:f>
        <x:v>0.0</x:v>
      </x:c>
      <x:c r="L38" s="79">
        <x:v>95</x:v>
      </x:c>
      <x:c r="M38" s="79">
        <x:v>95</x:v>
      </x:c>
      <x:c r="N38" s="81">
        <x:f>IF(C38=0,"n.a.",L38/C38)</x:f>
        <x:v>0.236318407960199</x:v>
      </x:c>
      <x:c r="O38" s="81">
        <x:f>IF(F38=0,"n.a.",M38/F38)</x:f>
        <x:v>0.236318407960199</x:v>
      </x:c>
      <x:c r="P38" s="82">
        <x:f>(O38-N38)*100</x:f>
        <x:v>0.0</x:v>
      </x:c>
      <x:c r="Q38" s="79">
        <x:v>15</x:v>
      </x:c>
      <x:c r="R38" s="79">
        <x:v>15</x:v>
      </x:c>
      <x:c r="S38" s="81">
        <x:f>IF(C38=0,"n.a.",Q38/C38)</x:f>
        <x:v>0.03731343283582089</x:v>
      </x:c>
      <x:c r="T38" s="81">
        <x:f>IF(F38=0,"n.a.",R38/F38)</x:f>
        <x:v>0.03731343283582089</x:v>
      </x:c>
      <x:c r="U38" s="82">
        <x:f>(T38-S38)*100</x:f>
        <x:v>0.0</x:v>
      </x:c>
    </x:row>
    <x:row r="39" ht="24" customHeight="1">
      <x:c r="A39" s="77" t="inlineStr">
        <x:is>
          <x:t xml:space="preserve">AfD</x:t>
        </x:is>
      </x:c>
      <x:c r="B39" s="78" t="n">
        <x:v>2021</x:v>
      </x:c>
      <x:c r="C39" s="79">
        <x:v>274</x:v>
      </x:c>
      <x:c r="D39" s="79">
        <x:v>0</x:v>
      </x:c>
      <x:c r="E39" s="80">
        <x:f>IF(C39=0,"n.a.",D39/C39)</x:f>
        <x:v>0.0</x:v>
      </x:c>
      <x:c r="F39" s="79">
        <x:f>C39-D39</x:f>
        <x:v>274</x:v>
      </x:c>
      <x:c r="G39" s="79">
        <x:v>56</x:v>
      </x:c>
      <x:c r="H39" s="79">
        <x:v>56</x:v>
      </x:c>
      <x:c r="I39" s="81">
        <x:f>IF(C39=0,"n.a.",G39/C39)</x:f>
        <x:v>0.20437956204379562</x:v>
      </x:c>
      <x:c r="J39" s="81">
        <x:f>IF(F39=0,"n.a.",H39/F39)</x:f>
        <x:v>0.20437956204379562</x:v>
      </x:c>
      <x:c r="K39" s="82">
        <x:f>(J39-I39)*100</x:f>
        <x:v>0.0</x:v>
      </x:c>
      <x:c r="L39" s="79">
        <x:v>79</x:v>
      </x:c>
      <x:c r="M39" s="79">
        <x:v>79</x:v>
      </x:c>
      <x:c r="N39" s="81">
        <x:f>IF(C39=0,"n.a.",L39/C39)</x:f>
        <x:v>0.28832116788321166</x:v>
      </x:c>
      <x:c r="O39" s="81">
        <x:f>IF(F39=0,"n.a.",M39/F39)</x:f>
        <x:v>0.28832116788321166</x:v>
      </x:c>
      <x:c r="P39" s="82">
        <x:f>(O39-N39)*100</x:f>
        <x:v>0.0</x:v>
      </x:c>
      <x:c r="Q39" s="79">
        <x:v>9</x:v>
      </x:c>
      <x:c r="R39" s="79">
        <x:v>9</x:v>
      </x:c>
      <x:c r="S39" s="81">
        <x:f>IF(C39=0,"n.a.",Q39/C39)</x:f>
        <x:v>0.032846715328467155</x:v>
      </x:c>
      <x:c r="T39" s="81">
        <x:f>IF(F39=0,"n.a.",R39/F39)</x:f>
        <x:v>0.032846715328467155</x:v>
      </x:c>
      <x:c r="U39" s="82">
        <x:f>(T39-S39)*100</x:f>
        <x:v>0.0</x:v>
      </x:c>
    </x:row>
    <x:row r="40" ht="24" customHeight="1">
      <x:c r="A40" s="77" t="inlineStr">
        <x:is>
          <x:t xml:space="preserve">AfD</x:t>
        </x:is>
      </x:c>
      <x:c r="B40" s="78" t="n">
        <x:v>2022</x:v>
      </x:c>
      <x:c r="C40" s="79">
        <x:v>510</x:v>
      </x:c>
      <x:c r="D40" s="79">
        <x:v>0</x:v>
      </x:c>
      <x:c r="E40" s="80">
        <x:f>IF(C40=0,"n.a.",D40/C40)</x:f>
        <x:v>0.0</x:v>
      </x:c>
      <x:c r="F40" s="79">
        <x:f>C40-D40</x:f>
        <x:v>510</x:v>
      </x:c>
      <x:c r="G40" s="79">
        <x:v>67</x:v>
      </x:c>
      <x:c r="H40" s="79">
        <x:v>67</x:v>
      </x:c>
      <x:c r="I40" s="81">
        <x:f>IF(C40=0,"n.a.",G40/C40)</x:f>
        <x:v>0.13137254901960785</x:v>
      </x:c>
      <x:c r="J40" s="81">
        <x:f>IF(F40=0,"n.a.",H40/F40)</x:f>
        <x:v>0.13137254901960785</x:v>
      </x:c>
      <x:c r="K40" s="82">
        <x:f>(J40-I40)*100</x:f>
        <x:v>0.0</x:v>
      </x:c>
      <x:c r="L40" s="79">
        <x:v>180</x:v>
      </x:c>
      <x:c r="M40" s="79">
        <x:v>180</x:v>
      </x:c>
      <x:c r="N40" s="81">
        <x:f>IF(C40=0,"n.a.",L40/C40)</x:f>
        <x:v>0.35294117647058826</x:v>
      </x:c>
      <x:c r="O40" s="81">
        <x:f>IF(F40=0,"n.a.",M40/F40)</x:f>
        <x:v>0.35294117647058826</x:v>
      </x:c>
      <x:c r="P40" s="82">
        <x:f>(O40-N40)*100</x:f>
        <x:v>0.0</x:v>
      </x:c>
      <x:c r="Q40" s="79">
        <x:v>54</x:v>
      </x:c>
      <x:c r="R40" s="79">
        <x:v>54</x:v>
      </x:c>
      <x:c r="S40" s="81">
        <x:f>IF(C40=0,"n.a.",Q40/C40)</x:f>
        <x:v>0.10588235294117647</x:v>
      </x:c>
      <x:c r="T40" s="81">
        <x:f>IF(F40=0,"n.a.",R40/F40)</x:f>
        <x:v>0.10588235294117647</x:v>
      </x:c>
      <x:c r="U40" s="82">
        <x:f>(T40-S40)*100</x:f>
        <x:v>0.0</x:v>
      </x:c>
    </x:row>
    <x:row r="41" ht="24" customHeight="1">
      <x:c r="A41" s="77" t="inlineStr">
        <x:is>
          <x:t xml:space="preserve">AfD</x:t>
        </x:is>
      </x:c>
      <x:c r="B41" s="78" t="n">
        <x:v>2023</x:v>
      </x:c>
      <x:c r="C41" s="79">
        <x:v>407</x:v>
      </x:c>
      <x:c r="D41" s="79">
        <x:v>0</x:v>
      </x:c>
      <x:c r="E41" s="80">
        <x:f>IF(C41=0,"n.a.",D41/C41)</x:f>
        <x:v>0.0</x:v>
      </x:c>
      <x:c r="F41" s="79">
        <x:f>C41-D41</x:f>
        <x:v>407</x:v>
      </x:c>
      <x:c r="G41" s="79">
        <x:v>72</x:v>
      </x:c>
      <x:c r="H41" s="79">
        <x:v>72</x:v>
      </x:c>
      <x:c r="I41" s="81">
        <x:f>IF(C41=0,"n.a.",G41/C41)</x:f>
        <x:v>0.1769041769041769</x:v>
      </x:c>
      <x:c r="J41" s="81">
        <x:f>IF(F41=0,"n.a.",H41/F41)</x:f>
        <x:v>0.1769041769041769</x:v>
      </x:c>
      <x:c r="K41" s="82">
        <x:f>(J41-I41)*100</x:f>
        <x:v>0.0</x:v>
      </x:c>
      <x:c r="L41" s="79">
        <x:v>104</x:v>
      </x:c>
      <x:c r="M41" s="79">
        <x:v>104</x:v>
      </x:c>
      <x:c r="N41" s="81">
        <x:f>IF(C41=0,"n.a.",L41/C41)</x:f>
        <x:v>0.25552825552825553</x:v>
      </x:c>
      <x:c r="O41" s="81">
        <x:f>IF(F41=0,"n.a.",M41/F41)</x:f>
        <x:v>0.25552825552825553</x:v>
      </x:c>
      <x:c r="P41" s="82">
        <x:f>(O41-N41)*100</x:f>
        <x:v>0.0</x:v>
      </x:c>
      <x:c r="Q41" s="79">
        <x:v>31</x:v>
      </x:c>
      <x:c r="R41" s="79">
        <x:v>31</x:v>
      </x:c>
      <x:c r="S41" s="81">
        <x:f>IF(C41=0,"n.a.",Q41/C41)</x:f>
        <x:v>0.07616707616707617</x:v>
      </x:c>
      <x:c r="T41" s="81">
        <x:f>IF(F41=0,"n.a.",R41/F41)</x:f>
        <x:v>0.07616707616707617</x:v>
      </x:c>
      <x:c r="U41" s="82">
        <x:f>(T41-S41)*100</x:f>
        <x:v>0.0</x:v>
      </x:c>
    </x:row>
    <x:row r="42" ht="24" customHeight="1">
      <x:c r="A42" s="77" t="inlineStr">
        <x:is>
          <x:t xml:space="preserve">AfD</x:t>
        </x:is>
      </x:c>
      <x:c r="B42" s="78" t="n">
        <x:v>2024</x:v>
      </x:c>
      <x:c r="C42" s="79">
        <x:v>529</x:v>
      </x:c>
      <x:c r="D42" s="79">
        <x:v>0</x:v>
      </x:c>
      <x:c r="E42" s="80">
        <x:f>IF(C42=0,"n.a.",D42/C42)</x:f>
        <x:v>0.0</x:v>
      </x:c>
      <x:c r="F42" s="79">
        <x:f>C42-D42</x:f>
        <x:v>529</x:v>
      </x:c>
      <x:c r="G42" s="79">
        <x:v>50</x:v>
      </x:c>
      <x:c r="H42" s="79">
        <x:v>50</x:v>
      </x:c>
      <x:c r="I42" s="81">
        <x:f>IF(C42=0,"n.a.",G42/C42)</x:f>
        <x:v>0.0945179584120983</x:v>
      </x:c>
      <x:c r="J42" s="81">
        <x:f>IF(F42=0,"n.a.",H42/F42)</x:f>
        <x:v>0.0945179584120983</x:v>
      </x:c>
      <x:c r="K42" s="82">
        <x:f>(J42-I42)*100</x:f>
        <x:v>0.0</x:v>
      </x:c>
      <x:c r="L42" s="79">
        <x:v>177</x:v>
      </x:c>
      <x:c r="M42" s="79">
        <x:v>177</x:v>
      </x:c>
      <x:c r="N42" s="81">
        <x:f>IF(C42=0,"n.a.",L42/C42)</x:f>
        <x:v>0.33459357277882795</x:v>
      </x:c>
      <x:c r="O42" s="81">
        <x:f>IF(F42=0,"n.a.",M42/F42)</x:f>
        <x:v>0.33459357277882795</x:v>
      </x:c>
      <x:c r="P42" s="82">
        <x:f>(O42-N42)*100</x:f>
        <x:v>0.0</x:v>
      </x:c>
      <x:c r="Q42" s="79">
        <x:v>16</x:v>
      </x:c>
      <x:c r="R42" s="79">
        <x:v>16</x:v>
      </x:c>
      <x:c r="S42" s="81">
        <x:f>IF(C42=0,"n.a.",Q42/C42)</x:f>
        <x:v>0.030245746691871456</x:v>
      </x:c>
      <x:c r="T42" s="81">
        <x:f>IF(F42=0,"n.a.",R42/F42)</x:f>
        <x:v>0.030245746691871456</x:v>
      </x:c>
      <x:c r="U42" s="82">
        <x:f>(T42-S42)*100</x:f>
        <x:v>0.0</x:v>
      </x:c>
    </x:row>
    <x:row r="43" ht="24" customHeight="1">
      <x:c r="A43" s="77" t="inlineStr">
        <x:is>
          <x:t xml:space="preserve">AfD</x:t>
        </x:is>
      </x:c>
      <x:c r="B43" s="78" t="n">
        <x:v>2025</x:v>
      </x:c>
      <x:c r="C43" s="79">
        <x:v>511</x:v>
      </x:c>
      <x:c r="D43" s="79">
        <x:v>0</x:v>
      </x:c>
      <x:c r="E43" s="80">
        <x:f>IF(C43=0,"n.a.",D43/C43)</x:f>
        <x:v>0.0</x:v>
      </x:c>
      <x:c r="F43" s="79">
        <x:f>C43-D43</x:f>
        <x:v>511</x:v>
      </x:c>
      <x:c r="G43" s="79">
        <x:v>88</x:v>
      </x:c>
      <x:c r="H43" s="79">
        <x:v>88</x:v>
      </x:c>
      <x:c r="I43" s="81">
        <x:f>IF(C43=0,"n.a.",G43/C43)</x:f>
        <x:v>0.17221135029354206</x:v>
      </x:c>
      <x:c r="J43" s="81">
        <x:f>IF(F43=0,"n.a.",H43/F43)</x:f>
        <x:v>0.17221135029354206</x:v>
      </x:c>
      <x:c r="K43" s="82">
        <x:f>(J43-I43)*100</x:f>
        <x:v>0.0</x:v>
      </x:c>
      <x:c r="L43" s="79">
        <x:v>179</x:v>
      </x:c>
      <x:c r="M43" s="79">
        <x:v>179</x:v>
      </x:c>
      <x:c r="N43" s="81">
        <x:f>IF(C43=0,"n.a.",L43/C43)</x:f>
        <x:v>0.350293542074364</x:v>
      </x:c>
      <x:c r="O43" s="81">
        <x:f>IF(F43=0,"n.a.",M43/F43)</x:f>
        <x:v>0.350293542074364</x:v>
      </x:c>
      <x:c r="P43" s="82">
        <x:f>(O43-N43)*100</x:f>
        <x:v>0.0</x:v>
      </x:c>
      <x:c r="Q43" s="79">
        <x:v>25</x:v>
      </x:c>
      <x:c r="R43" s="79">
        <x:v>25</x:v>
      </x:c>
      <x:c r="S43" s="81">
        <x:f>IF(C43=0,"n.a.",Q43/C43)</x:f>
        <x:v>0.04892367906066536</x:v>
      </x:c>
      <x:c r="T43" s="81">
        <x:f>IF(F43=0,"n.a.",R43/F43)</x:f>
        <x:v>0.04892367906066536</x:v>
      </x:c>
      <x:c r="U43" s="82">
        <x:f>(T43-S43)*100</x:f>
        <x:v>0.0</x:v>
      </x:c>
    </x:row>
    <x:row r="44" ht="24" customHeight="1">
      <x:c r="A44" s="77" t="inlineStr">
        <x:is>
          <x:t xml:space="preserve">FDP</x:t>
        </x:is>
      </x:c>
      <x:c r="B44" s="78" t="n">
        <x:v>2018</x:v>
      </x:c>
      <x:c r="C44" s="79">
        <x:v>353</x:v>
      </x:c>
      <x:c r="D44" s="79">
        <x:v>0</x:v>
      </x:c>
      <x:c r="E44" s="80">
        <x:f>IF(C44=0,"n.a.",D44/C44)</x:f>
        <x:v>0.0</x:v>
      </x:c>
      <x:c r="F44" s="79">
        <x:f>C44-D44</x:f>
        <x:v>353</x:v>
      </x:c>
      <x:c r="G44" s="79">
        <x:v>114</x:v>
      </x:c>
      <x:c r="H44" s="79">
        <x:v>114</x:v>
      </x:c>
      <x:c r="I44" s="81">
        <x:f>IF(C44=0,"n.a.",G44/C44)</x:f>
        <x:v>0.32294617563739375</x:v>
      </x:c>
      <x:c r="J44" s="81">
        <x:f>IF(F44=0,"n.a.",H44/F44)</x:f>
        <x:v>0.32294617563739375</x:v>
      </x:c>
      <x:c r="K44" s="82">
        <x:f>(J44-I44)*100</x:f>
        <x:v>0.0</x:v>
      </x:c>
      <x:c r="L44" s="79">
        <x:v>71</x:v>
      </x:c>
      <x:c r="M44" s="79">
        <x:v>71</x:v>
      </x:c>
      <x:c r="N44" s="81">
        <x:f>IF(C44=0,"n.a.",L44/C44)</x:f>
        <x:v>0.20113314447592068</x:v>
      </x:c>
      <x:c r="O44" s="81">
        <x:f>IF(F44=0,"n.a.",M44/F44)</x:f>
        <x:v>0.20113314447592068</x:v>
      </x:c>
      <x:c r="P44" s="82">
        <x:f>(O44-N44)*100</x:f>
        <x:v>0.0</x:v>
      </x:c>
      <x:c r="Q44" s="79">
        <x:v>11</x:v>
      </x:c>
      <x:c r="R44" s="79">
        <x:v>11</x:v>
      </x:c>
      <x:c r="S44" s="81">
        <x:f>IF(C44=0,"n.a.",Q44/C44)</x:f>
        <x:v>0.031161473087818695</x:v>
      </x:c>
      <x:c r="T44" s="81">
        <x:f>IF(F44=0,"n.a.",R44/F44)</x:f>
        <x:v>0.031161473087818695</x:v>
      </x:c>
      <x:c r="U44" s="82">
        <x:f>(T44-S44)*100</x:f>
        <x:v>0.0</x:v>
      </x:c>
    </x:row>
    <x:row r="45" ht="24" customHeight="1">
      <x:c r="A45" s="77" t="inlineStr">
        <x:is>
          <x:t xml:space="preserve">FDP</x:t>
        </x:is>
      </x:c>
      <x:c r="B45" s="78" t="n">
        <x:v>2019</x:v>
      </x:c>
      <x:c r="C45" s="79">
        <x:v>298</x:v>
      </x:c>
      <x:c r="D45" s="79">
        <x:v>0</x:v>
      </x:c>
      <x:c r="E45" s="80">
        <x:f>IF(C45=0,"n.a.",D45/C45)</x:f>
        <x:v>0.0</x:v>
      </x:c>
      <x:c r="F45" s="79">
        <x:f>C45-D45</x:f>
        <x:v>298</x:v>
      </x:c>
      <x:c r="G45" s="79">
        <x:v>89</x:v>
      </x:c>
      <x:c r="H45" s="79">
        <x:v>89</x:v>
      </x:c>
      <x:c r="I45" s="81">
        <x:f>IF(C45=0,"n.a.",G45/C45)</x:f>
        <x:v>0.2986577181208054</x:v>
      </x:c>
      <x:c r="J45" s="81">
        <x:f>IF(F45=0,"n.a.",H45/F45)</x:f>
        <x:v>0.2986577181208054</x:v>
      </x:c>
      <x:c r="K45" s="82">
        <x:f>(J45-I45)*100</x:f>
        <x:v>0.0</x:v>
      </x:c>
      <x:c r="L45" s="79">
        <x:v>56</x:v>
      </x:c>
      <x:c r="M45" s="79">
        <x:v>56</x:v>
      </x:c>
      <x:c r="N45" s="81">
        <x:f>IF(C45=0,"n.a.",L45/C45)</x:f>
        <x:v>0.18791946308724833</x:v>
      </x:c>
      <x:c r="O45" s="81">
        <x:f>IF(F45=0,"n.a.",M45/F45)</x:f>
        <x:v>0.18791946308724833</x:v>
      </x:c>
      <x:c r="P45" s="82">
        <x:f>(O45-N45)*100</x:f>
        <x:v>0.0</x:v>
      </x:c>
      <x:c r="Q45" s="79">
        <x:v>5</x:v>
      </x:c>
      <x:c r="R45" s="79">
        <x:v>5</x:v>
      </x:c>
      <x:c r="S45" s="81">
        <x:f>IF(C45=0,"n.a.",Q45/C45)</x:f>
        <x:v>0.016778523489932886</x:v>
      </x:c>
      <x:c r="T45" s="81">
        <x:f>IF(F45=0,"n.a.",R45/F45)</x:f>
        <x:v>0.016778523489932886</x:v>
      </x:c>
      <x:c r="U45" s="82">
        <x:f>(T45-S45)*100</x:f>
        <x:v>0.0</x:v>
      </x:c>
    </x:row>
    <x:row r="46" ht="24" customHeight="1">
      <x:c r="A46" s="77" t="inlineStr">
        <x:is>
          <x:t xml:space="preserve">FDP</x:t>
        </x:is>
      </x:c>
      <x:c r="B46" s="78" t="n">
        <x:v>2020</x:v>
      </x:c>
      <x:c r="C46" s="79">
        <x:v>305</x:v>
      </x:c>
      <x:c r="D46" s="79">
        <x:v>0</x:v>
      </x:c>
      <x:c r="E46" s="80">
        <x:f>IF(C46=0,"n.a.",D46/C46)</x:f>
        <x:v>0.0</x:v>
      </x:c>
      <x:c r="F46" s="79">
        <x:f>C46-D46</x:f>
        <x:v>305</x:v>
      </x:c>
      <x:c r="G46" s="79">
        <x:v>78</x:v>
      </x:c>
      <x:c r="H46" s="79">
        <x:v>78</x:v>
      </x:c>
      <x:c r="I46" s="81">
        <x:f>IF(C46=0,"n.a.",G46/C46)</x:f>
        <x:v>0.25573770491803277</x:v>
      </x:c>
      <x:c r="J46" s="81">
        <x:f>IF(F46=0,"n.a.",H46/F46)</x:f>
        <x:v>0.25573770491803277</x:v>
      </x:c>
      <x:c r="K46" s="82">
        <x:f>(J46-I46)*100</x:f>
        <x:v>0.0</x:v>
      </x:c>
      <x:c r="L46" s="79">
        <x:v>58</x:v>
      </x:c>
      <x:c r="M46" s="79">
        <x:v>58</x:v>
      </x:c>
      <x:c r="N46" s="81">
        <x:f>IF(C46=0,"n.a.",L46/C46)</x:f>
        <x:v>0.1901639344262295</x:v>
      </x:c>
      <x:c r="O46" s="81">
        <x:f>IF(F46=0,"n.a.",M46/F46)</x:f>
        <x:v>0.1901639344262295</x:v>
      </x:c>
      <x:c r="P46" s="82">
        <x:f>(O46-N46)*100</x:f>
        <x:v>0.0</x:v>
      </x:c>
      <x:c r="Q46" s="79">
        <x:v>11</x:v>
      </x:c>
      <x:c r="R46" s="79">
        <x:v>11</x:v>
      </x:c>
      <x:c r="S46" s="81">
        <x:f>IF(C46=0,"n.a.",Q46/C46)</x:f>
        <x:v>0.036065573770491806</x:v>
      </x:c>
      <x:c r="T46" s="81">
        <x:f>IF(F46=0,"n.a.",R46/F46)</x:f>
        <x:v>0.036065573770491806</x:v>
      </x:c>
      <x:c r="U46" s="82">
        <x:f>(T46-S46)*100</x:f>
        <x:v>0.0</x:v>
      </x:c>
    </x:row>
    <x:row r="47" ht="24" customHeight="1">
      <x:c r="A47" s="77" t="inlineStr">
        <x:is>
          <x:t xml:space="preserve">FDP</x:t>
        </x:is>
      </x:c>
      <x:c r="B47" s="78" t="n">
        <x:v>2021</x:v>
      </x:c>
      <x:c r="C47" s="79">
        <x:v>183</x:v>
      </x:c>
      <x:c r="D47" s="79">
        <x:v>0</x:v>
      </x:c>
      <x:c r="E47" s="80">
        <x:f>IF(C47=0,"n.a.",D47/C47)</x:f>
        <x:v>0.0</x:v>
      </x:c>
      <x:c r="F47" s="79">
        <x:f>C47-D47</x:f>
        <x:v>183</x:v>
      </x:c>
      <x:c r="G47" s="79">
        <x:v>53</x:v>
      </x:c>
      <x:c r="H47" s="79">
        <x:v>53</x:v>
      </x:c>
      <x:c r="I47" s="81">
        <x:f>IF(C47=0,"n.a.",G47/C47)</x:f>
        <x:v>0.2896174863387978</x:v>
      </x:c>
      <x:c r="J47" s="81">
        <x:f>IF(F47=0,"n.a.",H47/F47)</x:f>
        <x:v>0.2896174863387978</x:v>
      </x:c>
      <x:c r="K47" s="82">
        <x:f>(J47-I47)*100</x:f>
        <x:v>0.0</x:v>
      </x:c>
      <x:c r="L47" s="79">
        <x:v>47</x:v>
      </x:c>
      <x:c r="M47" s="79">
        <x:v>47</x:v>
      </x:c>
      <x:c r="N47" s="81">
        <x:f>IF(C47=0,"n.a.",L47/C47)</x:f>
        <x:v>0.2568306010928962</x:v>
      </x:c>
      <x:c r="O47" s="81">
        <x:f>IF(F47=0,"n.a.",M47/F47)</x:f>
        <x:v>0.2568306010928962</x:v>
      </x:c>
      <x:c r="P47" s="82">
        <x:f>(O47-N47)*100</x:f>
        <x:v>0.0</x:v>
      </x:c>
      <x:c r="Q47" s="79">
        <x:v>6</x:v>
      </x:c>
      <x:c r="R47" s="79">
        <x:v>6</x:v>
      </x:c>
      <x:c r="S47" s="81">
        <x:f>IF(C47=0,"n.a.",Q47/C47)</x:f>
        <x:v>0.03278688524590164</x:v>
      </x:c>
      <x:c r="T47" s="81">
        <x:f>IF(F47=0,"n.a.",R47/F47)</x:f>
        <x:v>0.03278688524590164</x:v>
      </x:c>
      <x:c r="U47" s="82">
        <x:f>(T47-S47)*100</x:f>
        <x:v>0.0</x:v>
      </x:c>
    </x:row>
    <x:row r="48" ht="24" customHeight="1">
      <x:c r="A48" s="77" t="inlineStr">
        <x:is>
          <x:t xml:space="preserve">FDP</x:t>
        </x:is>
      </x:c>
      <x:c r="B48" s="78" t="n">
        <x:v>2022</x:v>
      </x:c>
      <x:c r="C48" s="79">
        <x:v>378</x:v>
      </x:c>
      <x:c r="D48" s="79">
        <x:v>3</x:v>
      </x:c>
      <x:c r="E48" s="80">
        <x:f>IF(C48=0,"n.a.",D48/C48)</x:f>
        <x:v>0.007936507936507936</x:v>
      </x:c>
      <x:c r="F48" s="79">
        <x:f>C48-D48</x:f>
        <x:v>375</x:v>
      </x:c>
      <x:c r="G48" s="79">
        <x:v>87</x:v>
      </x:c>
      <x:c r="H48" s="79">
        <x:v>86</x:v>
      </x:c>
      <x:c r="I48" s="81">
        <x:f>IF(C48=0,"n.a.",G48/C48)</x:f>
        <x:v>0.23015873015873015</x:v>
      </x:c>
      <x:c r="J48" s="81">
        <x:f>IF(F48=0,"n.a.",H48/F48)</x:f>
        <x:v>0.22933333333333333</x:v>
      </x:c>
      <x:c r="K48" s="82">
        <x:f>(J48-I48)*100</x:f>
        <x:v>-0.08253968253968125</x:v>
      </x:c>
      <x:c r="L48" s="79">
        <x:v>117</x:v>
      </x:c>
      <x:c r="M48" s="79">
        <x:v>116</x:v>
      </x:c>
      <x:c r="N48" s="81">
        <x:f>IF(C48=0,"n.a.",L48/C48)</x:f>
        <x:v>0.30952380952380953</x:v>
      </x:c>
      <x:c r="O48" s="81">
        <x:f>IF(F48=0,"n.a.",M48/F48)</x:f>
        <x:v>0.30933333333333335</x:v>
      </x:c>
      <x:c r="P48" s="82">
        <x:f>(O48-N48)*100</x:f>
        <x:v>-0.019047619047618536</x:v>
      </x:c>
      <x:c r="Q48" s="79">
        <x:v>39</x:v>
      </x:c>
      <x:c r="R48" s="79">
        <x:v>39</x:v>
      </x:c>
      <x:c r="S48" s="81">
        <x:f>IF(C48=0,"n.a.",Q48/C48)</x:f>
        <x:v>0.10317460317460317</x:v>
      </x:c>
      <x:c r="T48" s="81">
        <x:f>IF(F48=0,"n.a.",R48/F48)</x:f>
        <x:v>0.104</x:v>
      </x:c>
      <x:c r="U48" s="82">
        <x:f>(T48-S48)*100</x:f>
        <x:v>0.08253968253968264</x:v>
      </x:c>
    </x:row>
    <x:row r="49" ht="24" customHeight="1">
      <x:c r="A49" s="77" t="inlineStr">
        <x:is>
          <x:t xml:space="preserve">FDP</x:t>
        </x:is>
      </x:c>
      <x:c r="B49" s="78" t="n">
        <x:v>2023</x:v>
      </x:c>
      <x:c r="C49" s="79">
        <x:v>314</x:v>
      </x:c>
      <x:c r="D49" s="79">
        <x:v>4</x:v>
      </x:c>
      <x:c r="E49" s="80">
        <x:f>IF(C49=0,"n.a.",D49/C49)</x:f>
        <x:v>0.012738853503184714</x:v>
      </x:c>
      <x:c r="F49" s="79">
        <x:f>C49-D49</x:f>
        <x:v>310</x:v>
      </x:c>
      <x:c r="G49" s="79">
        <x:v>99</x:v>
      </x:c>
      <x:c r="H49" s="79">
        <x:v>98</x:v>
      </x:c>
      <x:c r="I49" s="81">
        <x:f>IF(C49=0,"n.a.",G49/C49)</x:f>
        <x:v>0.31528662420382164</x:v>
      </x:c>
      <x:c r="J49" s="81">
        <x:f>IF(F49=0,"n.a.",H49/F49)</x:f>
        <x:v>0.3161290322580645</x:v>
      </x:c>
      <x:c r="K49" s="82">
        <x:f>(J49-I49)*100</x:f>
        <x:v>0.08424080542428491</x:v>
      </x:c>
      <x:c r="L49" s="79">
        <x:v>71</x:v>
      </x:c>
      <x:c r="M49" s="79">
        <x:v>69</x:v>
      </x:c>
      <x:c r="N49" s="81">
        <x:f>IF(C49=0,"n.a.",L49/C49)</x:f>
        <x:v>0.22611464968152867</x:v>
      </x:c>
      <x:c r="O49" s="81">
        <x:f>IF(F49=0,"n.a.",M49/F49)</x:f>
        <x:v>0.22258064516129034</x:v>
      </x:c>
      <x:c r="P49" s="82">
        <x:f>(O49-N49)*100</x:f>
        <x:v>-0.3534004520238332</x:v>
      </x:c>
      <x:c r="Q49" s="79">
        <x:v>13</x:v>
      </x:c>
      <x:c r="R49" s="79">
        <x:v>12</x:v>
      </x:c>
      <x:c r="S49" s="81">
        <x:f>IF(C49=0,"n.a.",Q49/C49)</x:f>
        <x:v>0.041401273885350316</x:v>
      </x:c>
      <x:c r="T49" s="81">
        <x:f>IF(F49=0,"n.a.",R49/F49)</x:f>
        <x:v>0.03870967741935484</x:v>
      </x:c>
      <x:c r="U49" s="82">
        <x:f>(T49-S49)*100</x:f>
        <x:v>-0.2691596465995476</x:v>
      </x:c>
    </x:row>
    <x:row r="50" ht="24" customHeight="1">
      <x:c r="A50" s="77" t="inlineStr">
        <x:is>
          <x:t xml:space="preserve">FDP</x:t>
        </x:is>
      </x:c>
      <x:c r="B50" s="78" t="n">
        <x:v>2024</x:v>
      </x:c>
      <x:c r="C50" s="79">
        <x:v>438</x:v>
      </x:c>
      <x:c r="D50" s="79">
        <x:v>5</x:v>
      </x:c>
      <x:c r="E50" s="80">
        <x:f>IF(C50=0,"n.a.",D50/C50)</x:f>
        <x:v>0.01141552511415525</x:v>
      </x:c>
      <x:c r="F50" s="79">
        <x:f>C50-D50</x:f>
        <x:v>433</x:v>
      </x:c>
      <x:c r="G50" s="79">
        <x:v>66</x:v>
      </x:c>
      <x:c r="H50" s="79">
        <x:v>66</x:v>
      </x:c>
      <x:c r="I50" s="81">
        <x:f>IF(C50=0,"n.a.",G50/C50)</x:f>
        <x:v>0.1506849315068493</x:v>
      </x:c>
      <x:c r="J50" s="81">
        <x:f>IF(F50=0,"n.a.",H50/F50)</x:f>
        <x:v>0.15242494226327943</x:v>
      </x:c>
      <x:c r="K50" s="82">
        <x:f>(J50-I50)*100</x:f>
        <x:v>0.1740010756430127</x:v>
      </x:c>
      <x:c r="L50" s="79">
        <x:v>131</x:v>
      </x:c>
      <x:c r="M50" s="79">
        <x:v>129</x:v>
      </x:c>
      <x:c r="N50" s="81">
        <x:f>IF(C50=0,"n.a.",L50/C50)</x:f>
        <x:v>0.2990867579908676</x:v>
      </x:c>
      <x:c r="O50" s="81">
        <x:f>IF(F50=0,"n.a.",M50/F50)</x:f>
        <x:v>0.2979214780600462</x:v>
      </x:c>
      <x:c r="P50" s="82">
        <x:f>(O50-N50)*100</x:f>
        <x:v>-0.11652799308213835</x:v>
      </x:c>
      <x:c r="Q50" s="79">
        <x:v>8</x:v>
      </x:c>
      <x:c r="R50" s="79">
        <x:v>8</x:v>
      </x:c>
      <x:c r="S50" s="81">
        <x:f>IF(C50=0,"n.a.",Q50/C50)</x:f>
        <x:v>0.0182648401826484</x:v>
      </x:c>
      <x:c r="T50" s="81">
        <x:f>IF(F50=0,"n.a.",R50/F50)</x:f>
        <x:v>0.018475750577367205</x:v>
      </x:c>
      <x:c r="U50" s="82">
        <x:f>(T50-S50)*100</x:f>
        <x:v>0.021091039471880443</x:v>
      </x:c>
    </x:row>
    <x:row r="51" ht="24" customHeight="1">
      <x:c r="A51" s="77" t="inlineStr">
        <x:is>
          <x:t xml:space="preserve">FDP</x:t>
        </x:is>
      </x:c>
      <x:c r="B51" s="78" t="n">
        <x:v>2025</x:v>
      </x:c>
      <x:c r="C51" s="79">
        <x:v>3</x:v>
      </x:c>
      <x:c r="D51" s="79">
        <x:v>0</x:v>
      </x:c>
      <x:c r="E51" s="80">
        <x:f>IF(C51=0,"n.a.",D51/C51)</x:f>
        <x:v>0.0</x:v>
      </x:c>
      <x:c r="F51" s="79">
        <x:f>C51-D51</x:f>
        <x:v>3</x:v>
      </x:c>
      <x:c r="G51" s="79">
        <x:v>0</x:v>
      </x:c>
      <x:c r="H51" s="79">
        <x:v>0</x:v>
      </x:c>
      <x:c r="I51" s="78" t="inlineStr">
        <x:is>
          <x:t xml:space="preserve">n.a.</x:t>
        </x:is>
      </x:c>
      <x:c r="J51" s="78" t="inlineStr">
        <x:is>
          <x:t xml:space="preserve">n.a.</x:t>
        </x:is>
      </x:c>
      <x:c r="K51" s="78" t="inlineStr">
        <x:is>
          <x:t xml:space="preserve">n.a.</x:t>
        </x:is>
      </x:c>
      <x:c r="L51" s="79">
        <x:v>3</x:v>
      </x:c>
      <x:c r="M51" s="79">
        <x:v>3</x:v>
      </x:c>
      <x:c r="N51" s="78" t="inlineStr">
        <x:is>
          <x:t xml:space="preserve">n.a.</x:t>
        </x:is>
      </x:c>
      <x:c r="O51" s="78" t="inlineStr">
        <x:is>
          <x:t xml:space="preserve">n.a.</x:t>
        </x:is>
      </x:c>
      <x:c r="P51" s="78" t="inlineStr">
        <x:is>
          <x:t xml:space="preserve">n.a.</x:t>
        </x:is>
      </x:c>
      <x:c r="Q51" s="79">
        <x:v>0</x:v>
      </x:c>
      <x:c r="R51" s="79">
        <x:v>0</x:v>
      </x:c>
      <x:c r="S51" s="78" t="inlineStr">
        <x:is>
          <x:t xml:space="preserve">n.a.</x:t>
        </x:is>
      </x:c>
      <x:c r="T51" s="78" t="inlineStr">
        <x:is>
          <x:t xml:space="preserve">n.a.</x:t>
        </x:is>
      </x:c>
      <x:c r="U51" s="78" t="inlineStr">
        <x:is>
          <x:t xml:space="preserve">n.a.</x:t>
        </x:is>
      </x:c>
    </x:row>
    <x:row r="52" ht="24" customHeight="1">
      <x:c r="A52" s="77" t="inlineStr">
        <x:is>
          <x:t xml:space="preserve">Die Linke</x:t>
        </x:is>
      </x:c>
      <x:c r="B52" s="78" t="n">
        <x:v>2018</x:v>
      </x:c>
      <x:c r="C52" s="79">
        <x:v>354</x:v>
      </x:c>
      <x:c r="D52" s="79">
        <x:v>0</x:v>
      </x:c>
      <x:c r="E52" s="80">
        <x:f>IF(C52=0,"n.a.",D52/C52)</x:f>
        <x:v>0.0</x:v>
      </x:c>
      <x:c r="F52" s="79">
        <x:f>C52-D52</x:f>
        <x:v>354</x:v>
      </x:c>
      <x:c r="G52" s="79">
        <x:v>101</x:v>
      </x:c>
      <x:c r="H52" s="79">
        <x:v>101</x:v>
      </x:c>
      <x:c r="I52" s="81">
        <x:f>IF(C52=0,"n.a.",G52/C52)</x:f>
        <x:v>0.2853107344632768</x:v>
      </x:c>
      <x:c r="J52" s="81">
        <x:f>IF(F52=0,"n.a.",H52/F52)</x:f>
        <x:v>0.2853107344632768</x:v>
      </x:c>
      <x:c r="K52" s="82">
        <x:f>(J52-I52)*100</x:f>
        <x:v>0.0</x:v>
      </x:c>
      <x:c r="L52" s="79">
        <x:v>82</x:v>
      </x:c>
      <x:c r="M52" s="79">
        <x:v>82</x:v>
      </x:c>
      <x:c r="N52" s="81">
        <x:f>IF(C52=0,"n.a.",L52/C52)</x:f>
        <x:v>0.23163841807909605</x:v>
      </x:c>
      <x:c r="O52" s="81">
        <x:f>IF(F52=0,"n.a.",M52/F52)</x:f>
        <x:v>0.23163841807909605</x:v>
      </x:c>
      <x:c r="P52" s="82">
        <x:f>(O52-N52)*100</x:f>
        <x:v>0.0</x:v>
      </x:c>
      <x:c r="Q52" s="79">
        <x:v>4</x:v>
      </x:c>
      <x:c r="R52" s="79">
        <x:v>4</x:v>
      </x:c>
      <x:c r="S52" s="81">
        <x:f>IF(C52=0,"n.a.",Q52/C52)</x:f>
        <x:v>0.011299435028248588</x:v>
      </x:c>
      <x:c r="T52" s="81">
        <x:f>IF(F52=0,"n.a.",R52/F52)</x:f>
        <x:v>0.011299435028248588</x:v>
      </x:c>
      <x:c r="U52" s="82">
        <x:f>(T52-S52)*100</x:f>
        <x:v>0.0</x:v>
      </x:c>
    </x:row>
    <x:row r="53" ht="24" customHeight="1">
      <x:c r="A53" s="77" t="inlineStr">
        <x:is>
          <x:t xml:space="preserve">Die Linke</x:t>
        </x:is>
      </x:c>
      <x:c r="B53" s="78" t="n">
        <x:v>2019</x:v>
      </x:c>
      <x:c r="C53" s="79">
        <x:v>319</x:v>
      </x:c>
      <x:c r="D53" s="79">
        <x:v>0</x:v>
      </x:c>
      <x:c r="E53" s="80">
        <x:f>IF(C53=0,"n.a.",D53/C53)</x:f>
        <x:v>0.0</x:v>
      </x:c>
      <x:c r="F53" s="79">
        <x:f>C53-D53</x:f>
        <x:v>319</x:v>
      </x:c>
      <x:c r="G53" s="79">
        <x:v>94</x:v>
      </x:c>
      <x:c r="H53" s="79">
        <x:v>94</x:v>
      </x:c>
      <x:c r="I53" s="81">
        <x:f>IF(C53=0,"n.a.",G53/C53)</x:f>
        <x:v>0.2946708463949843</x:v>
      </x:c>
      <x:c r="J53" s="81">
        <x:f>IF(F53=0,"n.a.",H53/F53)</x:f>
        <x:v>0.2946708463949843</x:v>
      </x:c>
      <x:c r="K53" s="82">
        <x:f>(J53-I53)*100</x:f>
        <x:v>0.0</x:v>
      </x:c>
      <x:c r="L53" s="79">
        <x:v>79</x:v>
      </x:c>
      <x:c r="M53" s="79">
        <x:v>79</x:v>
      </x:c>
      <x:c r="N53" s="81">
        <x:f>IF(C53=0,"n.a.",L53/C53)</x:f>
        <x:v>0.2476489028213166</x:v>
      </x:c>
      <x:c r="O53" s="81">
        <x:f>IF(F53=0,"n.a.",M53/F53)</x:f>
        <x:v>0.2476489028213166</x:v>
      </x:c>
      <x:c r="P53" s="82">
        <x:f>(O53-N53)*100</x:f>
        <x:v>0.0</x:v>
      </x:c>
      <x:c r="Q53" s="79">
        <x:v>5</x:v>
      </x:c>
      <x:c r="R53" s="79">
        <x:v>5</x:v>
      </x:c>
      <x:c r="S53" s="81">
        <x:f>IF(C53=0,"n.a.",Q53/C53)</x:f>
        <x:v>0.01567398119122257</x:v>
      </x:c>
      <x:c r="T53" s="81">
        <x:f>IF(F53=0,"n.a.",R53/F53)</x:f>
        <x:v>0.01567398119122257</x:v>
      </x:c>
      <x:c r="U53" s="82">
        <x:f>(T53-S53)*100</x:f>
        <x:v>0.0</x:v>
      </x:c>
    </x:row>
    <x:row r="54" ht="24" customHeight="1">
      <x:c r="A54" s="77" t="inlineStr">
        <x:is>
          <x:t xml:space="preserve">Die Linke</x:t>
        </x:is>
      </x:c>
      <x:c r="B54" s="78" t="n">
        <x:v>2020</x:v>
      </x:c>
      <x:c r="C54" s="79">
        <x:v>316</x:v>
      </x:c>
      <x:c r="D54" s="79">
        <x:v>32</x:v>
      </x:c>
      <x:c r="E54" s="80">
        <x:f>IF(C54=0,"n.a.",D54/C54)</x:f>
        <x:v>0.10126582278481013</x:v>
      </x:c>
      <x:c r="F54" s="79">
        <x:f>C54-D54</x:f>
        <x:v>284</x:v>
      </x:c>
      <x:c r="G54" s="79">
        <x:v>80</x:v>
      </x:c>
      <x:c r="H54" s="79">
        <x:v>76</x:v>
      </x:c>
      <x:c r="I54" s="81">
        <x:f>IF(C54=0,"n.a.",G54/C54)</x:f>
        <x:v>0.25316455696202533</x:v>
      </x:c>
      <x:c r="J54" s="81">
        <x:f>IF(F54=0,"n.a.",H54/F54)</x:f>
        <x:v>0.2676056338028169</x:v>
      </x:c>
      <x:c r="K54" s="82">
        <x:f>(J54-I54)*100</x:f>
        <x:v>1.4441076840791545</x:v>
      </x:c>
      <x:c r="L54" s="79">
        <x:v>78</x:v>
      </x:c>
      <x:c r="M54" s="79">
        <x:v>69</x:v>
      </x:c>
      <x:c r="N54" s="81">
        <x:f>IF(C54=0,"n.a.",L54/C54)</x:f>
        <x:v>0.2468354430379747</x:v>
      </x:c>
      <x:c r="O54" s="81">
        <x:f>IF(F54=0,"n.a.",M54/F54)</x:f>
        <x:v>0.24295774647887325</x:v>
      </x:c>
      <x:c r="P54" s="82">
        <x:f>(O54-N54)*100</x:f>
        <x:v>-0.38776965591014456</x:v>
      </x:c>
      <x:c r="Q54" s="79">
        <x:v>8</x:v>
      </x:c>
      <x:c r="R54" s="79">
        <x:v>7</x:v>
      </x:c>
      <x:c r="S54" s="81">
        <x:f>IF(C54=0,"n.a.",Q54/C54)</x:f>
        <x:v>0.02531645569620253</x:v>
      </x:c>
      <x:c r="T54" s="81">
        <x:f>IF(F54=0,"n.a.",R54/F54)</x:f>
        <x:v>0.02464788732394366</x:v>
      </x:c>
      <x:c r="U54" s="82">
        <x:f>(T54-S54)*100</x:f>
        <x:v>-0.06685683722588709</x:v>
      </x:c>
    </x:row>
    <x:row r="55" ht="24" customHeight="1">
      <x:c r="A55" s="77" t="inlineStr">
        <x:is>
          <x:t xml:space="preserve">Die Linke</x:t>
        </x:is>
      </x:c>
      <x:c r="B55" s="78" t="n">
        <x:v>2021</x:v>
      </x:c>
      <x:c r="C55" s="79">
        <x:v>198</x:v>
      </x:c>
      <x:c r="D55" s="79">
        <x:v>0</x:v>
      </x:c>
      <x:c r="E55" s="80">
        <x:f>IF(C55=0,"n.a.",D55/C55)</x:f>
        <x:v>0.0</x:v>
      </x:c>
      <x:c r="F55" s="79">
        <x:f>C55-D55</x:f>
        <x:v>198</x:v>
      </x:c>
      <x:c r="G55" s="79">
        <x:v>69</x:v>
      </x:c>
      <x:c r="H55" s="79">
        <x:v>69</x:v>
      </x:c>
      <x:c r="I55" s="81">
        <x:f>IF(C55=0,"n.a.",G55/C55)</x:f>
        <x:v>0.3484848484848485</x:v>
      </x:c>
      <x:c r="J55" s="81">
        <x:f>IF(F55=0,"n.a.",H55/F55)</x:f>
        <x:v>0.3484848484848485</x:v>
      </x:c>
      <x:c r="K55" s="82">
        <x:f>(J55-I55)*100</x:f>
        <x:v>0.0</x:v>
      </x:c>
      <x:c r="L55" s="79">
        <x:v>61</x:v>
      </x:c>
      <x:c r="M55" s="79">
        <x:v>61</x:v>
      </x:c>
      <x:c r="N55" s="81">
        <x:f>IF(C55=0,"n.a.",L55/C55)</x:f>
        <x:v>0.30808080808080807</x:v>
      </x:c>
      <x:c r="O55" s="81">
        <x:f>IF(F55=0,"n.a.",M55/F55)</x:f>
        <x:v>0.30808080808080807</x:v>
      </x:c>
      <x:c r="P55" s="82">
        <x:f>(O55-N55)*100</x:f>
        <x:v>0.0</x:v>
      </x:c>
      <x:c r="Q55" s="79">
        <x:v>5</x:v>
      </x:c>
      <x:c r="R55" s="79">
        <x:v>5</x:v>
      </x:c>
      <x:c r="S55" s="81">
        <x:f>IF(C55=0,"n.a.",Q55/C55)</x:f>
        <x:v>0.025252525252525252</x:v>
      </x:c>
      <x:c r="T55" s="81">
        <x:f>IF(F55=0,"n.a.",R55/F55)</x:f>
        <x:v>0.025252525252525252</x:v>
      </x:c>
      <x:c r="U55" s="82">
        <x:f>(T55-S55)*100</x:f>
        <x:v>0.0</x:v>
      </x:c>
    </x:row>
    <x:row r="56" ht="24" customHeight="1">
      <x:c r="A56" s="77" t="inlineStr">
        <x:is>
          <x:t xml:space="preserve">Die Linke</x:t>
        </x:is>
      </x:c>
      <x:c r="B56" s="78" t="n">
        <x:v>2022</x:v>
      </x:c>
      <x:c r="C56" s="79">
        <x:v>375</x:v>
      </x:c>
      <x:c r="D56" s="79">
        <x:v>0</x:v>
      </x:c>
      <x:c r="E56" s="80">
        <x:f>IF(C56=0,"n.a.",D56/C56)</x:f>
        <x:v>0.0</x:v>
      </x:c>
      <x:c r="F56" s="79">
        <x:f>C56-D56</x:f>
        <x:v>375</x:v>
      </x:c>
      <x:c r="G56" s="79">
        <x:v>71</x:v>
      </x:c>
      <x:c r="H56" s="79">
        <x:v>71</x:v>
      </x:c>
      <x:c r="I56" s="81">
        <x:f>IF(C56=0,"n.a.",G56/C56)</x:f>
        <x:v>0.18933333333333333</x:v>
      </x:c>
      <x:c r="J56" s="81">
        <x:f>IF(F56=0,"n.a.",H56/F56)</x:f>
        <x:v>0.18933333333333333</x:v>
      </x:c>
      <x:c r="K56" s="82">
        <x:f>(J56-I56)*100</x:f>
        <x:v>0.0</x:v>
      </x:c>
      <x:c r="L56" s="79">
        <x:v>163</x:v>
      </x:c>
      <x:c r="M56" s="79">
        <x:v>163</x:v>
      </x:c>
      <x:c r="N56" s="81">
        <x:f>IF(C56=0,"n.a.",L56/C56)</x:f>
        <x:v>0.43466666666666665</x:v>
      </x:c>
      <x:c r="O56" s="81">
        <x:f>IF(F56=0,"n.a.",M56/F56)</x:f>
        <x:v>0.43466666666666665</x:v>
      </x:c>
      <x:c r="P56" s="82">
        <x:f>(O56-N56)*100</x:f>
        <x:v>0.0</x:v>
      </x:c>
      <x:c r="Q56" s="79">
        <x:v>31</x:v>
      </x:c>
      <x:c r="R56" s="79">
        <x:v>31</x:v>
      </x:c>
      <x:c r="S56" s="81">
        <x:f>IF(C56=0,"n.a.",Q56/C56)</x:f>
        <x:v>0.08266666666666667</x:v>
      </x:c>
      <x:c r="T56" s="81">
        <x:f>IF(F56=0,"n.a.",R56/F56)</x:f>
        <x:v>0.08266666666666667</x:v>
      </x:c>
      <x:c r="U56" s="82">
        <x:f>(T56-S56)*100</x:f>
        <x:v>0.0</x:v>
      </x:c>
    </x:row>
    <x:row r="57" ht="24" customHeight="1">
      <x:c r="A57" s="77" t="inlineStr">
        <x:is>
          <x:t xml:space="preserve">Die Linke</x:t>
        </x:is>
      </x:c>
      <x:c r="B57" s="78" t="n">
        <x:v>2023</x:v>
      </x:c>
      <x:c r="C57" s="79">
        <x:v>308</x:v>
      </x:c>
      <x:c r="D57" s="79">
        <x:v>1</x:v>
      </x:c>
      <x:c r="E57" s="80">
        <x:f>IF(C57=0,"n.a.",D57/C57)</x:f>
        <x:v>0.003246753246753247</x:v>
      </x:c>
      <x:c r="F57" s="79">
        <x:f>C57-D57</x:f>
        <x:v>307</x:v>
      </x:c>
      <x:c r="G57" s="79">
        <x:v>72</x:v>
      </x:c>
      <x:c r="H57" s="79">
        <x:v>71</x:v>
      </x:c>
      <x:c r="I57" s="81">
        <x:f>IF(C57=0,"n.a.",G57/C57)</x:f>
        <x:v>0.23376623376623376</x:v>
      </x:c>
      <x:c r="J57" s="81">
        <x:f>IF(F57=0,"n.a.",H57/F57)</x:f>
        <x:v>0.23127035830618892</x:v>
      </x:c>
      <x:c r="K57" s="82">
        <x:f>(J57-I57)*100</x:f>
        <x:v>-0.2495875460044844</x:v>
      </x:c>
      <x:c r="L57" s="79">
        <x:v>106</x:v>
      </x:c>
      <x:c r="M57" s="79">
        <x:v>106</x:v>
      </x:c>
      <x:c r="N57" s="81">
        <x:f>IF(C57=0,"n.a.",L57/C57)</x:f>
        <x:v>0.34415584415584416</x:v>
      </x:c>
      <x:c r="O57" s="81">
        <x:f>IF(F57=0,"n.a.",M57/F57)</x:f>
        <x:v>0.34527687296416937</x:v>
      </x:c>
      <x:c r="P57" s="82">
        <x:f>(O57-N57)*100</x:f>
        <x:v>0.11210288083252085</x:v>
      </x:c>
      <x:c r="Q57" s="79">
        <x:v>19</x:v>
      </x:c>
      <x:c r="R57" s="79">
        <x:v>19</x:v>
      </x:c>
      <x:c r="S57" s="81">
        <x:f>IF(C57=0,"n.a.",Q57/C57)</x:f>
        <x:v>0.06168831168831169</x:v>
      </x:c>
      <x:c r="T57" s="81">
        <x:f>IF(F57=0,"n.a.",R57/F57)</x:f>
        <x:v>0.06188925081433225</x:v>
      </x:c>
      <x:c r="U57" s="82">
        <x:f>(T57-S57)*100</x:f>
        <x:v>0.020093912602055924</x:v>
      </x:c>
    </x:row>
    <x:row r="58" ht="24" customHeight="1">
      <x:c r="A58" s="77" t="inlineStr">
        <x:is>
          <x:t xml:space="preserve">Die Linke</x:t>
        </x:is>
      </x:c>
      <x:c r="B58" s="78" t="n">
        <x:v>2024</x:v>
      </x:c>
      <x:c r="C58" s="79">
        <x:v>132</x:v>
      </x:c>
      <x:c r="D58" s="79">
        <x:v>0</x:v>
      </x:c>
      <x:c r="E58" s="80">
        <x:f>IF(C58=0,"n.a.",D58/C58)</x:f>
        <x:v>0.0</x:v>
      </x:c>
      <x:c r="F58" s="79">
        <x:f>C58-D58</x:f>
        <x:v>132</x:v>
      </x:c>
      <x:c r="G58" s="79">
        <x:v>29</x:v>
      </x:c>
      <x:c r="H58" s="79">
        <x:v>29</x:v>
      </x:c>
      <x:c r="I58" s="81">
        <x:f>IF(C58=0,"n.a.",G58/C58)</x:f>
        <x:v>0.2196969696969697</x:v>
      </x:c>
      <x:c r="J58" s="81">
        <x:f>IF(F58=0,"n.a.",H58/F58)</x:f>
        <x:v>0.2196969696969697</x:v>
      </x:c>
      <x:c r="K58" s="82">
        <x:f>(J58-I58)*100</x:f>
        <x:v>0.0</x:v>
      </x:c>
      <x:c r="L58" s="79">
        <x:v>58</x:v>
      </x:c>
      <x:c r="M58" s="79">
        <x:v>58</x:v>
      </x:c>
      <x:c r="N58" s="81">
        <x:f>IF(C58=0,"n.a.",L58/C58)</x:f>
        <x:v>0.4393939393939394</x:v>
      </x:c>
      <x:c r="O58" s="81">
        <x:f>IF(F58=0,"n.a.",M58/F58)</x:f>
        <x:v>0.4393939393939394</x:v>
      </x:c>
      <x:c r="P58" s="82">
        <x:f>(O58-N58)*100</x:f>
        <x:v>0.0</x:v>
      </x:c>
      <x:c r="Q58" s="79">
        <x:v>0</x:v>
      </x:c>
      <x:c r="R58" s="79">
        <x:v>0</x:v>
      </x:c>
      <x:c r="S58" s="81">
        <x:f>IF(C58=0,"n.a.",Q58/C58)</x:f>
        <x:v>0.0</x:v>
      </x:c>
      <x:c r="T58" s="81">
        <x:f>IF(F58=0,"n.a.",R58/F58)</x:f>
        <x:v>0.0</x:v>
      </x:c>
      <x:c r="U58" s="82">
        <x:f>(T58-S58)*100</x:f>
        <x:v>0.0</x:v>
      </x:c>
    </x:row>
    <x:row r="59" ht="24" customHeight="1">
      <x:c r="A59" s="77" t="inlineStr">
        <x:is>
          <x:t xml:space="preserve">Die Linke</x:t>
        </x:is>
      </x:c>
      <x:c r="B59" s="78" t="n">
        <x:v>2025</x:v>
      </x:c>
      <x:c r="C59" s="79">
        <x:v>246</x:v>
      </x:c>
      <x:c r="D59" s="79">
        <x:v>0</x:v>
      </x:c>
      <x:c r="E59" s="80">
        <x:f>IF(C59=0,"n.a.",D59/C59)</x:f>
        <x:v>0.0</x:v>
      </x:c>
      <x:c r="F59" s="79">
        <x:f>C59-D59</x:f>
        <x:v>246</x:v>
      </x:c>
      <x:c r="G59" s="79">
        <x:v>57</x:v>
      </x:c>
      <x:c r="H59" s="79">
        <x:v>57</x:v>
      </x:c>
      <x:c r="I59" s="81">
        <x:f>IF(C59=0,"n.a.",G59/C59)</x:f>
        <x:v>0.23170731707317074</x:v>
      </x:c>
      <x:c r="J59" s="81">
        <x:f>IF(F59=0,"n.a.",H59/F59)</x:f>
        <x:v>0.23170731707317074</x:v>
      </x:c>
      <x:c r="K59" s="82">
        <x:f>(J59-I59)*100</x:f>
        <x:v>0.0</x:v>
      </x:c>
      <x:c r="L59" s="79">
        <x:v>98</x:v>
      </x:c>
      <x:c r="M59" s="79">
        <x:v>98</x:v>
      </x:c>
      <x:c r="N59" s="81">
        <x:f>IF(C59=0,"n.a.",L59/C59)</x:f>
        <x:v>0.3983739837398374</x:v>
      </x:c>
      <x:c r="O59" s="81">
        <x:f>IF(F59=0,"n.a.",M59/F59)</x:f>
        <x:v>0.3983739837398374</x:v>
      </x:c>
      <x:c r="P59" s="82">
        <x:f>(O59-N59)*100</x:f>
        <x:v>0.0</x:v>
      </x:c>
      <x:c r="Q59" s="79">
        <x:v>10</x:v>
      </x:c>
      <x:c r="R59" s="79">
        <x:v>10</x:v>
      </x:c>
      <x:c r="S59" s="81">
        <x:f>IF(C59=0,"n.a.",Q59/C59)</x:f>
        <x:v>0.04065040650406504</x:v>
      </x:c>
      <x:c r="T59" s="81">
        <x:f>IF(F59=0,"n.a.",R59/F59)</x:f>
        <x:v>0.04065040650406504</x:v>
      </x:c>
      <x:c r="U59" s="82">
        <x:f>(T59-S59)*100</x:f>
        <x:v>0.0</x:v>
      </x:c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</x:row>
    <x:row r="62" ht="26" customHeight="1">
      <x:c r="A62" s="75" t="inlineStr">
        <x:is>
          <x:t xml:space="preserve">2. Gemeinsamer Jahreswert der sechs Fraktionen mit und ohne Amtsbeiträge</x:t>
        </x:is>
      </x:c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</x:row>
    <x:row r="63" ht="64" customHeight="1">
      <x:c r="A63" s="76" t="inlineStr">
        <x:is>
          <x:t xml:space="preserve">Jahr</x:t>
        </x:is>
      </x:c>
      <x:c r="B63" s="76" t="inlineStr">
        <x:is>
          <x:t xml:space="preserve">A&amp;E-Sätze (6 Fraktionen)</x:t>
        </x:is>
      </x:c>
      <x:c r="C63" s="76" t="inlineStr">
        <x:is>
          <x:t xml:space="preserve">Sätze aus Amtsrollen</x:t>
        </x:is>
      </x:c>
      <x:c r="D63" s="76" t="inlineStr">
        <x:is>
          <x:t xml:space="preserve">A&amp;E ohne Amtsrollen</x:t>
        </x:is>
      </x:c>
      <x:c r="E63" s="76" t="inlineStr">
        <x:is>
          <x:t xml:space="preserve">Ökologie n</x:t>
        </x:is>
      </x:c>
      <x:c r="F63" s="76" t="inlineStr">
        <x:is>
          <x:t xml:space="preserve">Ökologie n ohne Amtsrollen</x:t>
        </x:is>
      </x:c>
      <x:c r="G63" s="76" t="inlineStr">
        <x:is>
          <x:t xml:space="preserve">Ökologie ursprünglich</x:t>
        </x:is>
      </x:c>
      <x:c r="H63" s="76" t="inlineStr">
        <x:is>
          <x:t xml:space="preserve">Ökologie bereinigt</x:t>
        </x:is>
      </x:c>
      <x:c r="I63" s="76" t="inlineStr">
        <x:is>
          <x:t xml:space="preserve">Änderung Ökologie (Pp.)</x:t>
        </x:is>
      </x:c>
      <x:c r="J63" s="76" t="inlineStr">
        <x:is>
          <x:t xml:space="preserve">Ökonomie n</x:t>
        </x:is>
      </x:c>
      <x:c r="K63" s="76" t="inlineStr">
        <x:is>
          <x:t xml:space="preserve">Ökonomie n ohne Amtsrollen</x:t>
        </x:is>
      </x:c>
      <x:c r="L63" s="76" t="inlineStr">
        <x:is>
          <x:t xml:space="preserve">Ökonomie ursprünglich</x:t>
        </x:is>
      </x:c>
      <x:c r="M63" s="76" t="inlineStr">
        <x:is>
          <x:t xml:space="preserve">Ökonomie bereinigt</x:t>
        </x:is>
      </x:c>
      <x:c r="N63" s="76" t="inlineStr">
        <x:is>
          <x:t xml:space="preserve">Änderung Ökonomie (Pp.)</x:t>
        </x:is>
      </x:c>
      <x:c r="O63" s="76" t="inlineStr">
        <x:is>
          <x:t xml:space="preserve">S&amp;R n</x:t>
        </x:is>
      </x:c>
      <x:c r="P63" s="76" t="inlineStr">
        <x:is>
          <x:t xml:space="preserve">S&amp;R n ohne Amtsrollen</x:t>
        </x:is>
      </x:c>
      <x:c r="Q63" s="76" t="inlineStr">
        <x:is>
          <x:t xml:space="preserve">S&amp;R ursprünglich</x:t>
        </x:is>
      </x:c>
      <x:c r="R63" s="76" t="inlineStr">
        <x:is>
          <x:t xml:space="preserve">S&amp;R bereinigt</x:t>
        </x:is>
      </x:c>
      <x:c r="S63" s="76" t="inlineStr">
        <x:is>
          <x:t xml:space="preserve">Änderung S&amp;R (Pp.)</x:t>
        </x:is>
      </x:c>
      <x:c r="T63" s="43"/>
      <x:c r="U63" s="43"/>
    </x:row>
    <x:row r="64" ht="24" customHeight="1">
      <x:c r="A64" s="78" t="n">
        <x:v>2018</x:v>
      </x:c>
      <x:c r="B64" s="79">
        <x:v>3234</x:v>
      </x:c>
      <x:c r="C64" s="79">
        <x:v>371</x:v>
      </x:c>
      <x:c r="D64" s="79">
        <x:f>B64-C64</x:f>
        <x:v>2863</x:v>
      </x:c>
      <x:c r="E64" s="79">
        <x:v>985</x:v>
      </x:c>
      <x:c r="F64" s="79">
        <x:v>874</x:v>
      </x:c>
      <x:c r="G64" s="81">
        <x:f>IF(B64=0,"n.a.",E64/B64)</x:f>
        <x:v>0.3045763760049474</x:v>
      </x:c>
      <x:c r="H64" s="81">
        <x:f>IF(D64=0,"n.a.",F64/D64)</x:f>
        <x:v>0.30527418791477473</x:v>
      </x:c>
      <x:c r="I64" s="82">
        <x:f>(H64-G64)*100</x:f>
        <x:v>0.06978119098273172</x:v>
      </x:c>
      <x:c r="J64" s="79">
        <x:v>525</x:v>
      </x:c>
      <x:c r="K64" s="79">
        <x:v>467</x:v>
      </x:c>
      <x:c r="L64" s="81">
        <x:f>IF(B64=0,"n.a.",J64/B64)</x:f>
        <x:v>0.16233766233766234</x:v>
      </x:c>
      <x:c r="M64" s="81">
        <x:f>IF(D64=0,"n.a.",K64/D64)</x:f>
        <x:v>0.1631156129933636</x:v>
      </x:c>
      <x:c r="N64" s="82">
        <x:f>(M64-L64)*100</x:f>
        <x:v>0.07779506557012705</x:v>
      </x:c>
      <x:c r="O64" s="79">
        <x:v>41</x:v>
      </x:c>
      <x:c r="P64" s="79">
        <x:v>36</x:v>
      </x:c>
      <x:c r="Q64" s="81">
        <x:f>IF(B64=0,"n.a.",O64/B64)</x:f>
        <x:v>0.012677798392084107</x:v>
      </x:c>
      <x:c r="R64" s="81">
        <x:f>IF(D64=0,"n.a.",P64/D64)</x:f>
        <x:v>0.012574222843171499</x:v>
      </x:c>
      <x:c r="S64" s="82">
        <x:f>(R64-Q64)*100</x:f>
        <x:v>-0.010357554891260792</x:v>
      </x:c>
      <x:c r="T64" s="43"/>
      <x:c r="U64" s="43"/>
    </x:row>
    <x:row r="65" ht="24" customHeight="1">
      <x:c r="A65" s="78" t="n">
        <x:v>2019</x:v>
      </x:c>
      <x:c r="B65" s="79">
        <x:v>2791</x:v>
      </x:c>
      <x:c r="C65" s="79">
        <x:v>320</x:v>
      </x:c>
      <x:c r="D65" s="79">
        <x:f>B65-C65</x:f>
        <x:v>2471</x:v>
      </x:c>
      <x:c r="E65" s="79">
        <x:v>846</x:v>
      </x:c>
      <x:c r="F65" s="79">
        <x:v>719</x:v>
      </x:c>
      <x:c r="G65" s="81">
        <x:f>IF(B65=0,"n.a.",E65/B65)</x:f>
        <x:v>0.3031171623074167</x:v>
      </x:c>
      <x:c r="H65" s="81">
        <x:f>IF(D65=0,"n.a.",F65/D65)</x:f>
        <x:v>0.29097531363820317</x:v>
      </x:c>
      <x:c r="I65" s="82">
        <x:f>(H65-G65)*100</x:f>
        <x:v>-1.2141848669213529</x:v>
      </x:c>
      <x:c r="J65" s="79">
        <x:v>434</x:v>
      </x:c>
      <x:c r="K65" s="79">
        <x:v>403</x:v>
      </x:c>
      <x:c r="L65" s="81">
        <x:f>IF(B65=0,"n.a.",J65/B65)</x:f>
        <x:v>0.15549982085274094</x:v>
      </x:c>
      <x:c r="M65" s="81">
        <x:f>IF(D65=0,"n.a.",K65/D65)</x:f>
        <x:v>0.1630918656414407</x:v>
      </x:c>
      <x:c r="N65" s="82">
        <x:f>(M65-L65)*100</x:f>
        <x:v>0.7592044788699764</x:v>
      </x:c>
      <x:c r="O65" s="79">
        <x:v>52</x:v>
      </x:c>
      <x:c r="P65" s="79">
        <x:v>50</x:v>
      </x:c>
      <x:c r="Q65" s="81">
        <x:f>IF(B65=0,"n.a.",O65/B65)</x:f>
        <x:v>0.018631314940881404</x:v>
      </x:c>
      <x:c r="R65" s="81">
        <x:f>IF(D65=0,"n.a.",P65/D65)</x:f>
        <x:v>0.020234722784297856</x:v>
      </x:c>
      <x:c r="S65" s="82">
        <x:f>(R65-Q65)*100</x:f>
        <x:v>0.16034078434164523</x:v>
      </x:c>
      <x:c r="T65" s="43"/>
      <x:c r="U65" s="43"/>
    </x:row>
    <x:row r="66" ht="24" customHeight="1">
      <x:c r="A66" s="78" t="n">
        <x:v>2020</x:v>
      </x:c>
      <x:c r="B66" s="79">
        <x:v>3133</x:v>
      </x:c>
      <x:c r="C66" s="79">
        <x:v>461</x:v>
      </x:c>
      <x:c r="D66" s="79">
        <x:f>B66-C66</x:f>
        <x:v>2672</x:v>
      </x:c>
      <x:c r="E66" s="79">
        <x:v>734</x:v>
      </x:c>
      <x:c r="F66" s="79">
        <x:v>616</x:v>
      </x:c>
      <x:c r="G66" s="81">
        <x:f>IF(B66=0,"n.a.",E66/B66)</x:f>
        <x:v>0.23428024257899777</x:v>
      </x:c>
      <x:c r="H66" s="81">
        <x:f>IF(D66=0,"n.a.",F66/D66)</x:f>
        <x:v>0.23053892215568864</x:v>
      </x:c>
      <x:c r="I66" s="82">
        <x:f>(H66-G66)*100</x:f>
        <x:v>-0.374132042330913</x:v>
      </x:c>
      <x:c r="J66" s="79">
        <x:v>524</x:v>
      </x:c>
      <x:c r="K66" s="79">
        <x:v>451</x:v>
      </x:c>
      <x:c r="L66" s="81">
        <x:f>IF(B66=0,"n.a.",J66/B66)</x:f>
        <x:v>0.16725183530162782</x:v>
      </x:c>
      <x:c r="M66" s="81">
        <x:f>IF(D66=0,"n.a.",K66/D66)</x:f>
        <x:v>0.1687874251497006</x:v>
      </x:c>
      <x:c r="N66" s="82">
        <x:f>(M66-L66)*100</x:f>
        <x:v>0.15355898480727825</x:v>
      </x:c>
      <x:c r="O66" s="79">
        <x:v>79</x:v>
      </x:c>
      <x:c r="P66" s="79">
        <x:v>71</x:v>
      </x:c>
      <x:c r="Q66" s="81">
        <x:f>IF(B66=0,"n.a.",O66/B66)</x:f>
        <x:v>0.025215448451962975</x:v>
      </x:c>
      <x:c r="R66" s="81">
        <x:f>IF(D66=0,"n.a.",P66/D66)</x:f>
        <x:v>0.02657185628742515</x:v>
      </x:c>
      <x:c r="S66" s="82">
        <x:f>(R66-Q66)*100</x:f>
        <x:v>0.13564078354621756</x:v>
      </x:c>
      <x:c r="T66" s="43"/>
      <x:c r="U66" s="43"/>
    </x:row>
    <x:row r="67" ht="24" customHeight="1">
      <x:c r="A67" s="78" t="n">
        <x:v>2021</x:v>
      </x:c>
      <x:c r="B67" s="79">
        <x:v>2317</x:v>
      </x:c>
      <x:c r="C67" s="79">
        <x:v>303</x:v>
      </x:c>
      <x:c r="D67" s="79">
        <x:f>B67-C67</x:f>
        <x:v>2014</x:v>
      </x:c>
      <x:c r="E67" s="79">
        <x:v>798</x:v>
      </x:c>
      <x:c r="F67" s="79">
        <x:v>701</x:v>
      </x:c>
      <x:c r="G67" s="81">
        <x:f>IF(B67=0,"n.a.",E67/B67)</x:f>
        <x:v>0.34441087613293053</x:v>
      </x:c>
      <x:c r="H67" s="81">
        <x:f>IF(D67=0,"n.a.",F67/D67)</x:f>
        <x:v>0.3480635551142006</x:v>
      </x:c>
      <x:c r="I67" s="82">
        <x:f>(H67-G67)*100</x:f>
        <x:v>0.36526789812700855</x:v>
      </x:c>
      <x:c r="J67" s="79">
        <x:v>520</x:v>
      </x:c>
      <x:c r="K67" s="79">
        <x:v>460</x:v>
      </x:c>
      <x:c r="L67" s="81">
        <x:f>IF(B67=0,"n.a.",J67/B67)</x:f>
        <x:v>0.22442813983599483</x:v>
      </x:c>
      <x:c r="M67" s="81">
        <x:f>IF(D67=0,"n.a.",K67/D67)</x:f>
        <x:v>0.22840119165839126</x:v>
      </x:c>
      <x:c r="N67" s="82">
        <x:f>(M67-L67)*100</x:f>
        <x:v>0.3973051822396434</x:v>
      </x:c>
      <x:c r="O67" s="79">
        <x:v>59</x:v>
      </x:c>
      <x:c r="P67" s="79">
        <x:v>40</x:v>
      </x:c>
      <x:c r="Q67" s="81">
        <x:f>IF(B67=0,"n.a.",O67/B67)</x:f>
        <x:v>0.025463962019853258</x:v>
      </x:c>
      <x:c r="R67" s="81">
        <x:f>IF(D67=0,"n.a.",P67/D67)</x:f>
        <x:v>0.019860973187686197</x:v>
      </x:c>
      <x:c r="S67" s="82">
        <x:f>(R67-Q67)*100</x:f>
        <x:v>-0.5602988832167061</x:v>
      </x:c>
      <x:c r="T67" s="43"/>
      <x:c r="U67" s="43"/>
    </x:row>
    <x:row r="68" ht="24" customHeight="1">
      <x:c r="A68" s="78" t="n">
        <x:v>2022</x:v>
      </x:c>
      <x:c r="B68" s="79">
        <x:v>4007</x:v>
      </x:c>
      <x:c r="C68" s="79">
        <x:v>352</x:v>
      </x:c>
      <x:c r="D68" s="79">
        <x:f>B68-C68</x:f>
        <x:v>3655</x:v>
      </x:c>
      <x:c r="E68" s="79">
        <x:v>929</x:v>
      </x:c>
      <x:c r="F68" s="79">
        <x:v>833</x:v>
      </x:c>
      <x:c r="G68" s="81">
        <x:f>IF(B68=0,"n.a.",E68/B68)</x:f>
        <x:v>0.2318442725230846</x:v>
      </x:c>
      <x:c r="H68" s="81">
        <x:f>IF(D68=0,"n.a.",F68/D68)</x:f>
        <x:v>0.22790697674418606</x:v>
      </x:c>
      <x:c r="I68" s="82">
        <x:f>(H68-G68)*100</x:f>
        <x:v>-0.39372957788985363</x:v>
      </x:c>
      <x:c r="J68" s="79">
        <x:v>1172</x:v>
      </x:c>
      <x:c r="K68" s="79">
        <x:v>1083</x:v>
      </x:c>
      <x:c r="L68" s="81">
        <x:f>IF(B68=0,"n.a.",J68/B68)</x:f>
        <x:v>0.29248814574494636</x:v>
      </x:c>
      <x:c r="M68" s="81">
        <x:f>IF(D68=0,"n.a.",K68/D68)</x:f>
        <x:v>0.2963064295485636</x:v>
      </x:c>
      <x:c r="N68" s="82">
        <x:f>(M68-L68)*100</x:f>
        <x:v>0.38182838036172617</x:v>
      </x:c>
      <x:c r="O68" s="79">
        <x:v>403</x:v>
      </x:c>
      <x:c r="P68" s="79">
        <x:v>349</x:v>
      </x:c>
      <x:c r="Q68" s="81">
        <x:f>IF(B68=0,"n.a.",O68/B68)</x:f>
        <x:v>0.10057399550786124</x:v>
      </x:c>
      <x:c r="R68" s="81">
        <x:f>IF(D68=0,"n.a.",P68/D68)</x:f>
        <x:v>0.09548563611491108</x:v>
      </x:c>
      <x:c r="S68" s="82">
        <x:f>(R68-Q68)*100</x:f>
        <x:v>-0.5088359392950159</x:v>
      </x:c>
      <x:c r="T68" s="43"/>
      <x:c r="U68" s="43"/>
    </x:row>
    <x:row r="69" ht="24" customHeight="1">
      <x:c r="A69" s="78" t="n">
        <x:v>2023</x:v>
      </x:c>
      <x:c r="B69" s="79">
        <x:v>3399</x:v>
      </x:c>
      <x:c r="C69" s="79">
        <x:v>315</x:v>
      </x:c>
      <x:c r="D69" s="79">
        <x:f>B69-C69</x:f>
        <x:v>3084</x:v>
      </x:c>
      <x:c r="E69" s="79">
        <x:v>922</x:v>
      </x:c>
      <x:c r="F69" s="79">
        <x:v>828</x:v>
      </x:c>
      <x:c r="G69" s="81">
        <x:f>IF(B69=0,"n.a.",E69/B69)</x:f>
        <x:v>0.2712562518387761</x:v>
      </x:c>
      <x:c r="H69" s="81">
        <x:f>IF(D69=0,"n.a.",F69/D69)</x:f>
        <x:v>0.26848249027237353</x:v>
      </x:c>
      <x:c r="I69" s="82">
        <x:f>(H69-G69)*100</x:f>
        <x:v>-0.2773761566402577</x:v>
      </x:c>
      <x:c r="J69" s="79">
        <x:v>743</x:v>
      </x:c>
      <x:c r="K69" s="79">
        <x:v>689</x:v>
      </x:c>
      <x:c r="L69" s="81">
        <x:f>IF(B69=0,"n.a.",J69/B69)</x:f>
        <x:v>0.21859370403059725</x:v>
      </x:c>
      <x:c r="M69" s="81">
        <x:f>IF(D69=0,"n.a.",K69/D69)</x:f>
        <x:v>0.2234111543450065</x:v>
      </x:c>
      <x:c r="N69" s="82">
        <x:f>(M69-L69)*100</x:f>
        <x:v>0.48174503144092495</x:v>
      </x:c>
      <x:c r="O69" s="79">
        <x:v>215</x:v>
      </x:c>
      <x:c r="P69" s="79">
        <x:v>188</x:v>
      </x:c>
      <x:c r="Q69" s="81">
        <x:f>IF(B69=0,"n.a.",O69/B69)</x:f>
        <x:v>0.06325389820535451</x:v>
      </x:c>
      <x:c r="R69" s="81">
        <x:f>IF(D69=0,"n.a.",P69/D69)</x:f>
        <x:v>0.0609597924773022</x:v>
      </x:c>
      <x:c r="S69" s="82">
        <x:f>(R69-Q69)*100</x:f>
        <x:v>-0.22941057280523106</x:v>
      </x:c>
      <x:c r="T69" s="43"/>
      <x:c r="U69" s="43"/>
    </x:row>
    <x:row r="70" ht="24" customHeight="1">
      <x:c r="A70" s="78" t="n">
        <x:v>2024</x:v>
      </x:c>
      <x:c r="B70" s="79">
        <x:v>3906</x:v>
      </x:c>
      <x:c r="C70" s="79">
        <x:v>238</x:v>
      </x:c>
      <x:c r="D70" s="79">
        <x:f>B70-C70</x:f>
        <x:v>3668</x:v>
      </x:c>
      <x:c r="E70" s="79">
        <x:v>688</x:v>
      </x:c>
      <x:c r="F70" s="79">
        <x:v>629</x:v>
      </x:c>
      <x:c r="G70" s="81">
        <x:f>IF(B70=0,"n.a.",E70/B70)</x:f>
        <x:v>0.17613927291346645</x:v>
      </x:c>
      <x:c r="H70" s="81">
        <x:f>IF(D70=0,"n.a.",F70/D70)</x:f>
        <x:v>0.17148309705561615</x:v>
      </x:c>
      <x:c r="I70" s="82">
        <x:f>(H70-G70)*100</x:f>
        <x:v>-0.4656175857850303</x:v>
      </x:c>
      <x:c r="J70" s="79">
        <x:v>1196</x:v>
      </x:c>
      <x:c r="K70" s="79">
        <x:v>1128</x:v>
      </x:c>
      <x:c r="L70" s="81">
        <x:f>IF(B70=0,"n.a.",J70/B70)</x:f>
        <x:v>0.3061955965181772</x:v>
      </x:c>
      <x:c r="M70" s="81">
        <x:f>IF(D70=0,"n.a.",K70/D70)</x:f>
        <x:v>0.3075245365321701</x:v>
      </x:c>
      <x:c r="N70" s="82">
        <x:f>(M70-L70)*100</x:f>
        <x:v>0.13289400139929186</x:v>
      </x:c>
      <x:c r="O70" s="79">
        <x:v>92</x:v>
      </x:c>
      <x:c r="P70" s="79">
        <x:v>89</x:v>
      </x:c>
      <x:c r="Q70" s="81">
        <x:f>IF(B70=0,"n.a.",O70/B70)</x:f>
        <x:v>0.023553507424475168</x:v>
      </x:c>
      <x:c r="R70" s="81">
        <x:f>IF(D70=0,"n.a.",P70/D70)</x:f>
        <x:v>0.0242639040348964</x:v>
      </x:c>
      <x:c r="S70" s="82">
        <x:f>(R70-Q70)*100</x:f>
        <x:v>0.0710396610421233</x:v>
      </x:c>
      <x:c r="T70" s="43"/>
      <x:c r="U70" s="43"/>
    </x:row>
    <x:row r="71" ht="24" customHeight="1">
      <x:c r="A71" s="78" t="n">
        <x:v>2025</x:v>
      </x:c>
      <x:c r="B71" s="79">
        <x:v>2275</x:v>
      </x:c>
      <x:c r="C71" s="79">
        <x:v>296</x:v>
      </x:c>
      <x:c r="D71" s="79">
        <x:f>B71-C71</x:f>
        <x:v>1979</x:v>
      </x:c>
      <x:c r="E71" s="79">
        <x:v>542</x:v>
      </x:c>
      <x:c r="F71" s="79">
        <x:v>481</x:v>
      </x:c>
      <x:c r="G71" s="81">
        <x:f>IF(B71=0,"n.a.",E71/B71)</x:f>
        <x:v>0.23824175824175825</x:v>
      </x:c>
      <x:c r="H71" s="81">
        <x:f>IF(D71=0,"n.a.",F71/D71)</x:f>
        <x:v>0.2430520464881253</x:v>
      </x:c>
      <x:c r="I71" s="82">
        <x:f>(H71-G71)*100</x:f>
        <x:v>0.48102882463670615</x:v>
      </x:c>
      <x:c r="J71" s="79">
        <x:v>675</x:v>
      </x:c>
      <x:c r="K71" s="79">
        <x:v>592</x:v>
      </x:c>
      <x:c r="L71" s="81">
        <x:f>IF(B71=0,"n.a.",J71/B71)</x:f>
        <x:v>0.2967032967032967</x:v>
      </x:c>
      <x:c r="M71" s="81">
        <x:f>IF(D71=0,"n.a.",K71/D71)</x:f>
        <x:v>0.2991409802930773</x:v>
      </x:c>
      <x:c r="N71" s="82">
        <x:f>(M71-L71)*100</x:f>
        <x:v>0.24376835897805815</x:v>
      </x:c>
      <x:c r="O71" s="79">
        <x:v>102</x:v>
      </x:c>
      <x:c r="P71" s="79">
        <x:v>87</x:v>
      </x:c>
      <x:c r="Q71" s="81">
        <x:f>IF(B71=0,"n.a.",O71/B71)</x:f>
        <x:v>0.04483516483516484</x:v>
      </x:c>
      <x:c r="R71" s="81">
        <x:f>IF(D71=0,"n.a.",P71/D71)</x:f>
        <x:v>0.043961596766043456</x:v>
      </x:c>
      <x:c r="S71" s="82">
        <x:f>(R71-Q71)*100</x:f>
        <x:v>-0.08735680691213804</x:v>
      </x:c>
      <x:c r="T71" s="43"/>
      <x:c r="U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</x:row>
    <x:row r="74" ht="26" customHeight="1">
      <x:c r="A74" s="75" t="inlineStr">
        <x:is>
          <x:t xml:space="preserve">3. Prüfung der wiederkehrenden Unterschiede (Abschnitt 4.3) ohne Amtsbeiträge: Abstand zum bereinigten gemeinsamen Jahreswert in Prozentpunkten</x:t>
        </x:is>
      </x:c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</x:row>
    <x:row r="75" ht="48" customHeight="1">
      <x:c r="A75" s="76" t="inlineStr">
        <x:is>
          <x:t xml:space="preserve">Jahr</x:t>
        </x:is>
      </x:c>
      <x:c r="B75" s="76" t="inlineStr">
        <x:is>
          <x:t xml:space="preserve">Grüne: Ökologie</x:t>
        </x:is>
      </x:c>
      <x:c r="C75" s="76" t="inlineStr">
        <x:is>
          <x:t xml:space="preserve">AfD: Ökologie</x:t>
        </x:is>
      </x:c>
      <x:c r="D75" s="76" t="inlineStr">
        <x:is>
          <x:t xml:space="preserve">SPD: Ökonomie</x:t>
        </x:is>
      </x:c>
      <x:c r="E75" s="76" t="inlineStr">
        <x:is>
          <x:t xml:space="preserve">AfD: Ökonomie</x:t>
        </x:is>
      </x:c>
      <x:c r="F75" s="76" t="inlineStr">
        <x:is>
          <x:t xml:space="preserve">Die Linke: Ökonomie</x:t>
        </x:is>
      </x:c>
      <x:c r="G75" s="76" t="inlineStr">
        <x:is>
          <x:t xml:space="preserve">Erwartetes Vorzeichen</x:t>
        </x:is>
      </x:c>
      <x:c r="H75" s="76" t="inlineStr">
        <x:is>
          <x:t xml:space="preserve">Vorzeichen erhalten</x:t>
        </x:is>
      </x:c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</x:row>
    <x:row r="76" ht="24" customHeight="1">
      <x:c r="A76" s="78" t="n">
        <x:v>2018</x:v>
      </x:c>
      <x:c r="B76" s="82">
        <x:f>(J28-H64)*100</x:f>
        <x:v>7.5975812085225245</x:v>
      </x:c>
      <x:c r="C76" s="82">
        <x:f>(J36-H64)*100</x:f>
        <x:v>-1.1473648831216765</x:v>
      </x:c>
      <x:c r="D76" s="82">
        <x:f>(O20-M64)*100</x:f>
        <x:v>-4.459709447484508</x:v>
      </x:c>
      <x:c r="E76" s="82">
        <x:f>(O36-M64)*100</x:f>
        <x:v>4.443155681795716</x:v>
      </x:c>
      <x:c r="F76" s="82">
        <x:f>(O52-M64)*100</x:f>
        <x:v>6.852280508573244</x:v>
      </x:c>
      <x:c r="G76" s="83" t="inlineStr">
        <x:is>
          <x:t xml:space="preserve">+ / − / − / + / +</x:t>
        </x:is>
      </x:c>
      <x:c r="H76" s="83" t="str">
        <x:f>IF(OR(B76&lt;=0,C76&gt;=0,D76&gt;=0,E76&lt;=0,F76&lt;=0),"nein","ja")</x:f>
        <x:v>ja</x:v>
      </x:c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</x:row>
    <x:row r="77" ht="24" customHeight="1">
      <x:c r="A77" s="78" t="n">
        <x:v>2019</x:v>
      </x:c>
      <x:c r="B77" s="82">
        <x:f>(J29-H65)*100</x:f>
        <x:v>6.768730034355974</x:v>
      </x:c>
      <x:c r="C77" s="82">
        <x:f>(J37-H65)*100</x:f>
        <x:v>-5.039560349327562</x:v>
      </x:c>
      <x:c r="D77" s="82">
        <x:f>(O21-M65)*100</x:f>
        <x:v>-4.916781500852932</x:v>
      </x:c>
      <x:c r="E77" s="82">
        <x:f>(O37-M65)*100</x:f>
        <x:v>1.0821177836820155</x:v>
      </x:c>
      <x:c r="F77" s="82">
        <x:f>(O53-M65)*100</x:f>
        <x:v>8.45570371798759</x:v>
      </x:c>
      <x:c r="G77" s="83" t="inlineStr">
        <x:is>
          <x:t xml:space="preserve">+ / − / − / + / +</x:t>
        </x:is>
      </x:c>
      <x:c r="H77" s="83" t="str">
        <x:f>IF(OR(B77&lt;=0,C77&gt;=0,D77&gt;=0,E77&lt;=0,F77&lt;=0),"nein","ja")</x:f>
        <x:v>ja</x:v>
      </x:c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</x:row>
    <x:row r="78" ht="24" customHeight="1">
      <x:c r="A78" s="78" t="n">
        <x:v>2020</x:v>
      </x:c>
      <x:c r="B78" s="82">
        <x:f>(J30-H66)*100</x:f>
        <x:v>10.582471420794773</x:v>
      </x:c>
      <x:c r="C78" s="82">
        <x:f>(J38-H66)*100</x:f>
        <x:v>-1.660857389698217</x:v>
      </x:c>
      <x:c r="D78" s="82">
        <x:f>(O22-M66)*100</x:f>
        <x:v>-3.763988416609404</x:v>
      </x:c>
      <x:c r="E78" s="82">
        <x:f>(O38-M66)*100</x:f>
        <x:v>6.753098281049841</x:v>
      </x:c>
      <x:c r="F78" s="82">
        <x:f>(O54-M66)*100</x:f>
        <x:v>7.417032132917265</x:v>
      </x:c>
      <x:c r="G78" s="83" t="inlineStr">
        <x:is>
          <x:t xml:space="preserve">+ / − / − / + / +</x:t>
        </x:is>
      </x:c>
      <x:c r="H78" s="83" t="str">
        <x:f>IF(OR(B78&lt;=0,C78&gt;=0,D78&gt;=0,E78&lt;=0,F78&lt;=0),"nein","ja")</x:f>
        <x:v>ja</x:v>
      </x:c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</x:row>
    <x:row r="79" ht="24" customHeight="1">
      <x:c r="A79" s="78" t="n">
        <x:v>2021</x:v>
      </x:c>
      <x:c r="B79" s="82">
        <x:f>(J31-H67)*100</x:f>
        <x:v>2.015349914936526</x:v>
      </x:c>
      <x:c r="C79" s="82">
        <x:f>(J39-H67)*100</x:f>
        <x:v>-14.3683993070405</x:v>
      </x:c>
      <x:c r="D79" s="82">
        <x:f>(O23-M67)*100</x:f>
        <x:v>-2.565205076492047</x:v>
      </x:c>
      <x:c r="E79" s="82">
        <x:f>(O39-M67)*100</x:f>
        <x:v>5.99199762248204</x:v>
      </x:c>
      <x:c r="F79" s="82">
        <x:f>(O55-M67)*100</x:f>
        <x:v>7.96796164224168</x:v>
      </x:c>
      <x:c r="G79" s="83" t="inlineStr">
        <x:is>
          <x:t xml:space="preserve">+ / − / − / + / +</x:t>
        </x:is>
      </x:c>
      <x:c r="H79" s="83" t="str">
        <x:f>IF(OR(B79&lt;=0,C79&gt;=0,D79&gt;=0,E79&lt;=0,F79&lt;=0),"nein","ja")</x:f>
        <x:v>ja</x:v>
      </x:c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</x:row>
    <x:row r="80" ht="24" customHeight="1">
      <x:c r="A80" s="78" t="n">
        <x:v>2022</x:v>
      </x:c>
      <x:c r="B80" s="82">
        <x:f>(J32-H68)*100</x:f>
        <x:v>8.626140107922255</x:v>
      </x:c>
      <x:c r="C80" s="82">
        <x:f>(J40-H68)*100</x:f>
        <x:v>-9.65344277245782</x:v>
      </x:c>
      <x:c r="D80" s="82">
        <x:f>(O24-M68)*100</x:f>
        <x:v>-3.92869911036392</x:v>
      </x:c>
      <x:c r="E80" s="82">
        <x:f>(O40-M68)*100</x:f>
        <x:v>5.663474692202463</x:v>
      </x:c>
      <x:c r="F80" s="82">
        <x:f>(O56-M68)*100</x:f>
        <x:v>13.836023711810302</x:v>
      </x:c>
      <x:c r="G80" s="83" t="inlineStr">
        <x:is>
          <x:t xml:space="preserve">+ / − / − / + / +</x:t>
        </x:is>
      </x:c>
      <x:c r="H80" s="83" t="str">
        <x:f>IF(OR(B80&lt;=0,C80&gt;=0,D80&gt;=0,E80&lt;=0,F80&lt;=0),"nein","ja")</x:f>
        <x:v>ja</x:v>
      </x:c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</x:row>
    <x:row r="81" ht="24" customHeight="1">
      <x:c r="A81" s="78" t="n">
        <x:v>2023</x:v>
      </x:c>
      <x:c r="B81" s="82">
        <x:f>(J33-H69)*100</x:f>
        <x:v>6.092927443350882</x:v>
      </x:c>
      <x:c r="C81" s="82">
        <x:f>(J41-H69)*100</x:f>
        <x:v>-9.157831336819664</x:v>
      </x:c>
      <x:c r="D81" s="82">
        <x:f>(O25-M69)*100</x:f>
        <x:v>-4.213153349192591</x:v>
      </x:c>
      <x:c r="E81" s="82">
        <x:f>(O41-M69)*100</x:f>
        <x:v>3.2117101183249037</x:v>
      </x:c>
      <x:c r="F81" s="82">
        <x:f>(O57-M69)*100</x:f>
        <x:v>12.186571861916287</x:v>
      </x:c>
      <x:c r="G81" s="83" t="inlineStr">
        <x:is>
          <x:t xml:space="preserve">+ / − / − / + / +</x:t>
        </x:is>
      </x:c>
      <x:c r="H81" s="83" t="str">
        <x:f>IF(OR(B81&lt;=0,C81&gt;=0,D81&gt;=0,E81&lt;=0,F81&lt;=0),"nein","ja")</x:f>
        <x:v>ja</x:v>
      </x:c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</x:row>
    <x:row r="82" ht="24" customHeight="1">
      <x:c r="A82" s="78" t="n">
        <x:v>2024</x:v>
      </x:c>
      <x:c r="B82" s="82">
        <x:f>(J34-H70)*100</x:f>
        <x:v>6.28603372878182</x:v>
      </x:c>
      <x:c r="C82" s="82">
        <x:f>(J42-H70)*100</x:f>
        <x:v>-7.696513864351785</x:v>
      </x:c>
      <x:c r="D82" s="82">
        <x:f>(O26-M70)*100</x:f>
        <x:v>-6.189346857100506</x:v>
      </x:c>
      <x:c r="E82" s="82">
        <x:f>(O42-M70)*100</x:f>
        <x:v>2.7069036246657854</x:v>
      </x:c>
      <x:c r="F82" s="82">
        <x:f>(O58-M70)*100</x:f>
        <x:v>13.18694028617693</x:v>
      </x:c>
      <x:c r="G82" s="83" t="inlineStr">
        <x:is>
          <x:t xml:space="preserve">+ / − / − / + / +</x:t>
        </x:is>
      </x:c>
      <x:c r="H82" s="83" t="str">
        <x:f>IF(OR(B82&lt;=0,C82&gt;=0,D82&gt;=0,E82&lt;=0,F82&lt;=0),"nein","ja")</x:f>
        <x:v>ja</x:v>
      </x:c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</x:row>
    <x:row r="83" ht="24" customHeight="1">
      <x:c r="A83" s="78" t="n">
        <x:v>2025</x:v>
      </x:c>
      <x:c r="B83" s="82">
        <x:f>(J35-H71)*100</x:f>
        <x:v>10.829930486322606</x:v>
      </x:c>
      <x:c r="C83" s="82">
        <x:f>(J43-H71)*100</x:f>
        <x:v>-7.084069619458325</x:v>
      </x:c>
      <x:c r="D83" s="82">
        <x:f>(O27-M71)*100</x:f>
        <x:v>-5.703571713518254</x:v>
      </x:c>
      <x:c r="E83" s="82">
        <x:f>(O43-M71)*100</x:f>
        <x:v>5.115256178128669</x:v>
      </x:c>
      <x:c r="F83" s="82">
        <x:f>(O59-M71)*100</x:f>
        <x:v>9.923300344676012</x:v>
      </x:c>
      <x:c r="G83" s="83" t="inlineStr">
        <x:is>
          <x:t xml:space="preserve">+ / − / − / + / +</x:t>
        </x:is>
      </x:c>
      <x:c r="H83" s="83" t="str">
        <x:f>IF(OR(B83&lt;=0,C83&gt;=0,D83&gt;=0,E83&lt;=0,F83&lt;=0),"nein","ja")</x:f>
        <x:v>ja</x:v>
      </x:c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18" hidden="0" customWidth="1"/>
    <x:col min="3" max="3" width="15" hidden="0" customWidth="1"/>
    <x:col min="4" max="4" width="22" hidden="0" customWidth="1"/>
    <x:col min="5" max="5" width="42.220001220703125" hidden="0" customWidth="1"/>
    <x:col min="6" max="6" width="26.110000610351562" hidden="0" customWidth="1"/>
  </x:cols>
  <x:sheetData>
    <x:row r="1" ht="10" customHeight="1">
      <x:c r="A1"/>
      <x:c r="B1"/>
      <x:c r="C1"/>
      <x:c r="D1"/>
    </x:row>
    <x:row r="2" ht="28" customHeight="1">
      <x:c r="A2" s="84" t="inlineStr">
        <x:is>
          <x:t xml:space="preserve">Kennzahlen für Ergebnisse und Diskussion</x:t>
        </x:is>
      </x:c>
      <x:c r="B2" s="85"/>
      <x:c r="C2" s="85"/>
      <x:c r="D2" s="85"/>
    </x:row>
    <x:row r="3" ht="20" customHeight="1">
      <x:c r="A3" s="86" t="inlineStr">
        <x:is>
          <x:t xml:space="preserve">Themenanteile beziehen sich auf A&amp;E-Sätze. Die Berechnungen verwenden ungerundete Werte.</x:t>
        </x:is>
      </x:c>
      <x:c r="B3" s="43"/>
      <x:c r="C3" s="43"/>
      <x:c r="D3" s="43"/>
    </x:row>
    <x:row r="4" ht="20" customHeight="1">
      <x:c r="A4" s="43"/>
      <x:c r="B4" s="43"/>
      <x:c r="C4" s="43"/>
      <x:c r="D4" s="43"/>
    </x:row>
    <x:row r="5" ht="22" customHeight="1">
      <x:c r="A5" s="87"/>
      <x:c r="B5" s="87"/>
      <x:c r="C5" s="87"/>
      <x:c r="D5" s="87"/>
    </x:row>
    <x:row r="6" ht="44" customHeight="1">
      <x:c r="A6" s="88" t="inlineStr">
        <x:is>
          <x:t xml:space="preserve">Kennzahl</x:t>
        </x:is>
      </x:c>
      <x:c r="B6" s="88" t="inlineStr">
        <x:is>
          <x:t xml:space="preserve">Jahr / Zeitraum</x:t>
        </x:is>
      </x:c>
      <x:c r="C6" s="88" t="inlineStr">
        <x:is>
          <x:t xml:space="preserve">Wert</x:t>
        </x:is>
      </x:c>
      <x:c r="D6" s="88" t="inlineStr">
        <x:is>
          <x:t xml:space="preserve">Einheit</x:t>
        </x:is>
      </x:c>
    </x:row>
    <x:row r="7" ht="32" customHeight="1">
      <x:c r="A7" s="89" t="inlineStr">
        <x:is>
          <x:t xml:space="preserve">Höchster Ökologieanteil</x:t>
        </x:is>
      </x:c>
      <x:c r="B7" s="90">
        <x:v>2021</x:v>
      </x:c>
      <x:c r="C7" s="91">
        <x:f>'11_Berechnungsbasis'!D12/'11_Berechnungsbasis'!C12*100</x:f>
        <x:v>34.525862068965516</x:v>
      </x:c>
      <x:c r="D7" s="90" t="inlineStr">
        <x:is>
          <x:t xml:space="preserve">%</x:t>
        </x:is>
      </x:c>
    </x:row>
    <x:row r="8" ht="32" customHeight="1">
      <x:c r="A8" s="89" t="inlineStr">
        <x:is>
          <x:t xml:space="preserve">Höchster Ökonomieanteil</x:t>
        </x:is>
      </x:c>
      <x:c r="B8" s="90">
        <x:v>2024</x:v>
      </x:c>
      <x:c r="C8" s="91">
        <x:f>'11_Berechnungsbasis'!E15/'11_Berechnungsbasis'!C15*100</x:f>
        <x:v>30.849478390462</x:v>
      </x:c>
      <x:c r="D8" s="90" t="inlineStr">
        <x:is>
          <x:t xml:space="preserve">%</x:t>
        </x:is>
      </x:c>
    </x:row>
    <x:row r="9" ht="32" customHeight="1">
      <x:c r="A9" s="89" t="inlineStr">
        <x:is>
          <x:t xml:space="preserve">Höchster Anteil Sicherheit und Resilienz</x:t>
        </x:is>
      </x:c>
      <x:c r="B9" s="90">
        <x:v>2022</x:v>
      </x:c>
      <x:c r="C9" s="91">
        <x:f>'11_Berechnungsbasis'!F13/'11_Berechnungsbasis'!C13*100</x:f>
        <x:v>10.029865604778497</x:v>
      </x:c>
      <x:c r="D9" s="90" t="inlineStr">
        <x:is>
          <x:t xml:space="preserve">%</x:t>
        </x:is>
      </x:c>
    </x:row>
    <x:row r="10" ht="32" customHeight="1">
      <x:c r="A10" s="89"/>
      <x:c r="B10" s="90"/>
      <x:c r="C10" s="91"/>
      <x:c r="D10" s="90"/>
    </x:row>
    <x:row r="11" ht="32" customHeight="1">
      <x:c r="A11" s="89" t="inlineStr">
        <x:is>
          <x:t xml:space="preserve">Ökologie: Veränderung Satzanzahl</x:t>
        </x:is>
      </x:c>
      <x:c r="B11" s="90" t="inlineStr">
        <x:is>
          <x:t xml:space="preserve">2021/2022</x:t>
        </x:is>
      </x:c>
      <x:c r="C11" s="91">
        <x:f>'01_Haupttabellen'!D44</x:f>
        <x:v>130</x:v>
      </x:c>
      <x:c r="D11" s="90" t="inlineStr">
        <x:is>
          <x:t xml:space="preserve">Sätze</x:t>
        </x:is>
      </x:c>
    </x:row>
    <x:row r="12" ht="32" customHeight="1">
      <x:c r="A12" s="89" t="inlineStr">
        <x:is>
          <x:t xml:space="preserve">Ökologie: Veränderung Anteil</x:t>
        </x:is>
      </x:c>
      <x:c r="B12" s="90" t="inlineStr">
        <x:is>
          <x:t xml:space="preserve">2021/2022</x:t>
        </x:is>
      </x:c>
      <x:c r="C12" s="91">
        <x:f>'01_Haupttabellen'!E44</x:f>
        <x:v>-11.355130361648444</x:v>
      </x:c>
      <x:c r="D12" s="90" t="inlineStr">
        <x:is>
          <x:t xml:space="preserve">Prozentpunkte</x:t>
        </x:is>
      </x:c>
    </x:row>
    <x:row r="13" ht="32" customHeight="1">
      <x:c r="A13" s="89" t="inlineStr">
        <x:is>
          <x:t xml:space="preserve">Ökonomie: Veränderung Anteil</x:t>
        </x:is>
      </x:c>
      <x:c r="B13" s="90" t="inlineStr">
        <x:is>
          <x:t xml:space="preserve">2021/2022</x:t>
        </x:is>
      </x:c>
      <x:c r="C13" s="91">
        <x:f>'01_Haupttabellen'!G44</x:f>
        <x:v>6.779835567532311</x:v>
      </x:c>
      <x:c r="D13" s="90" t="inlineStr">
        <x:is>
          <x:t xml:space="preserve">Prozentpunkte</x:t>
        </x:is>
      </x:c>
    </x:row>
    <x:row r="14" ht="32" customHeight="1">
      <x:c r="A14" s="89" t="inlineStr">
        <x:is>
          <x:t xml:space="preserve">Ökonomie: Veränderung Anteil</x:t>
        </x:is>
      </x:c>
      <x:c r="B14" s="90" t="inlineStr">
        <x:is>
          <x:t xml:space="preserve">2023/2024</x:t>
        </x:is>
      </x:c>
      <x:c r="C14" s="91">
        <x:f>'01_Haupttabellen'!G46</x:f>
        <x:v>8.958931126780406</x:v>
      </x:c>
      <x:c r="D14" s="90" t="inlineStr">
        <x:is>
          <x:t xml:space="preserve">Prozentpunkte</x:t>
        </x:is>
      </x:c>
    </x:row>
    <x:row r="15" ht="32" customHeight="1">
      <x:c r="A15"/>
      <x:c r="B15"/>
      <x:c r="C15"/>
      <x:c r="D15"/>
    </x:row>
    <x:row r="16" ht="32" customHeight="1">
      <x:c r="A16"/>
      <x:c r="B16"/>
      <x:c r="C16"/>
      <x:c r="D16"/>
    </x:row>
    <x:row r="17" ht="32" customHeight="1">
      <x:c r="A17" s="89" t="inlineStr">
        <x:is>
          <x:t xml:space="preserve">Ernährungssicherheit: Anteil</x:t>
        </x:is>
      </x:c>
      <x:c r="B17" s="90" t="n">
        <x:v>2024</x:v>
      </x:c>
      <x:c r="C17" s="91">
        <x:f>'05_Unterthemen'!H12*100</x:f>
        <x:v>1.1425732737208147</x:v>
      </x:c>
      <x:c r="D17" s="90" t="inlineStr">
        <x:is>
          <x:t xml:space="preserve">%</x:t>
        </x:is>
      </x:c>
    </x:row>
    <x:row r="18" ht="32" customHeight="1">
      <x:c r="A18" s="89" t="inlineStr">
        <x:is>
          <x:t xml:space="preserve">Ernährungssicherheit: Anteil</x:t>
        </x:is>
      </x:c>
      <x:c r="B18" s="90" t="n">
        <x:v>2025</x:v>
      </x:c>
      <x:c r="C18" s="91">
        <x:f>'05_Unterthemen'!H13*100</x:f>
        <x:v>2.0184291355857833</x:v>
      </x:c>
      <x:c r="D18" s="90" t="inlineStr">
        <x:is>
          <x:t xml:space="preserve">%</x:t>
        </x:is>
      </x:c>
    </x:row>
    <x:row r="19" ht="32" customHeight="1">
      <x:c r="A19" s="89" t="inlineStr">
        <x:is>
          <x:t xml:space="preserve">Agrardiesel: Anteil an A&amp;E</x:t>
        </x:is>
      </x:c>
      <x:c r="B19" s="90" t="n">
        <x:v>2024</x:v>
      </x:c>
      <x:c r="C19" s="91">
        <x:f>'05_Unterthemen'!F12*100</x:f>
        <x:v>8.64381520119225</x:v>
      </x:c>
      <x:c r="D19" s="90" t="inlineStr">
        <x:is>
          <x:t xml:space="preserve">%</x:t>
        </x:is>
      </x:c>
    </x:row>
    <x:row r="20" ht="32" customHeight="1">
      <x:c r="A20" s="89" t="inlineStr">
        <x:is>
          <x:t xml:space="preserve">Agrardiesel: Anteil an A&amp;E</x:t>
        </x:is>
      </x:c>
      <x:c r="B20" s="90" t="n">
        <x:v>2025</x:v>
      </x:c>
      <x:c r="C20" s="91">
        <x:f>'05_Unterthemen'!F13*100</x:f>
        <x:v>4.6950416849495396</x:v>
      </x:c>
      <x:c r="D20" s="90" t="inlineStr">
        <x:is>
          <x:t xml:space="preserve">%</x:t>
        </x:is>
      </x:c>
    </x:row>
    <x:row r="21" ht="32" customHeight="1">
      <x:c r="A21"/>
      <x:c r="B21"/>
      <x:c r="C21"/>
      <x:c r="D21"/>
    </x:row>
    <x:row r="22" ht="32" customHeight="1">
      <x:c r="A22"/>
      <x:c r="B22"/>
      <x:c r="C22"/>
      <x:c r="D22"/>
    </x:row>
    <x:row r="23" ht="28" customHeight="1">
      <x:c r="A23" s="126" t="str">
        <x:v>Pflanzenschutz/Artenvielfalt: Sätze</x:v>
      </x:c>
      <x:c r="B23" s="122" t="n">
        <x:v>2021</x:v>
      </x:c>
      <x:c r="C23" s="124" t="n">
        <x:v>394</x:v>
      </x:c>
      <x:c r="D23" s="90" t="str">
        <x:v>Sätze</x:v>
      </x:c>
    </x:row>
    <x:row r="24" ht="28" customHeight="1">
      <x:c r="A24" s="126" t="str">
        <x:v>Pflanzenschutz/Artenvielfalt: Sätze</x:v>
      </x:c>
      <x:c r="B24" s="123" t="n">
        <x:v>44371</x:v>
      </x:c>
      <x:c r="C24" s="124" t="n">
        <x:v>194</x:v>
      </x:c>
      <x:c r="D24" s="90" t="str">
        <x:v>Sätze</x:v>
      </x:c>
    </x:row>
    <x:row r="25" ht="28" customHeight="1">
      <x:c r="A25" s="126" t="str">
        <x:v>Anteil der Sitzung am Jahreswert</x:v>
      </x:c>
      <x:c r="B25" s="122" t="n">
        <x:v>2021</x:v>
      </x:c>
      <x:c r="C25" s="125">
        <x:f>C24/C23*100</x:f>
        <x:v>49.23857868020304</x:v>
      </x:c>
      <x:c r="D25" s="90" t="str">
        <x:v>%</x:v>
      </x:c>
    </x:row>
    <x:row r="26" ht="34" customHeight="1"/>
    <x:row r="27" ht="34" customHeight="1"/>
    <x:row r="28" ht="34" customHeight="1"/>
    <x:row r="29" ht="34" customHeight="1"/>
    <x:row r="30" ht="34" customHeight="1"/>
    <x:row r="31" ht="47.5" customHeight="1"/>
    <x:row r="32" ht="34" customHeight="1"/>
    <x:row r="33" ht="34" customHeight="1"/>
    <x:row r="34" ht="22" customHeight="1"/>
    <x:row r="35" ht="22" customHeight="1"/>
  </x:sheetData>
  <x:mergeCells>
    <x:mergeCell ref="A3:D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9.4399995803833" hidden="0" customWidth="1"/>
    <x:col min="2" max="2" width="23.329999923706055" hidden="0" customWidth="1"/>
    <x:col min="3" max="3" width="13.329999923706055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2.779999732971191" hidden="0" customWidth="1"/>
    <x:col min="9" max="9" width="12.779999732971191" hidden="0" customWidth="1"/>
    <x:col min="10" max="10" width="13.329999923706055" hidden="0" customWidth="1"/>
    <x:col min="11" max="11" width="16.110000610351562" hidden="0" customWidth="1"/>
    <x:col min="12" max="12" width="16.110000610351562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8" customHeight="1">
      <x:c r="A2" s="2" t="inlineStr">
        <x:is>
          <x:t xml:space="preserve">Berechnungsbasis aus Satzmaster und Gesamtkorpus</x:t>
        </x:is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2" customHeight="1">
      <x:c r="A3" s="4" t="inlineStr">
        <x:is>
          <x:t xml:space="preserve">Unveränderte Satzzeilenzahlen. Reden bezeichnet eindeutige Beiträge einschließlich schriftlicher Erklärungen.</x:t>
        </x:is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4" t="str">
        <x:v>Quellen und Zählregeln stehen im Blatt 13_Datenstand. Die Formeln der Auswertungen verweisen auf diese Zähler.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6" customHeight="1">
      <x:c r="A7" s="10" t="inlineStr">
        <x:is>
          <x:t xml:space="preserve">Jahresbasis</x:t>
        </x:is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54" customHeight="1">
      <x:c r="A8" s="11" t="inlineStr">
        <x:is>
          <x:t xml:space="preserve">Jahr</x:t>
        </x:is>
      </x:c>
      <x:c r="B8" s="20" t="inlineStr">
        <x:is>
          <x:t xml:space="preserve">Plenarsätze</x:t>
        </x:is>
      </x:c>
      <x:c r="C8" s="20" t="inlineStr">
        <x:is>
          <x:t xml:space="preserve">A&amp;E-Sätze</x:t>
        </x:is>
      </x:c>
      <x:c r="D8" s="20" t="inlineStr">
        <x:is>
          <x:t xml:space="preserve">Ökologie n</x:t>
        </x:is>
      </x:c>
      <x:c r="E8" s="20" t="inlineStr">
        <x:is>
          <x:t xml:space="preserve">Ökonomie n</x:t>
        </x:is>
      </x:c>
      <x:c r="F8" s="20" t="inlineStr">
        <x:is>
          <x:t xml:space="preserve">S&amp;R n</x:t>
        </x:is>
      </x:c>
      <x:c r="G8" s="20" t="inlineStr">
        <x:is>
          <x:t xml:space="preserve">Plenartage</x:t>
        </x:is>
      </x:c>
      <x:c r="H8" s="20" t="inlineStr">
        <x:is>
          <x:t xml:space="preserve">A&amp;E-Tage</x:t>
        </x:is>
      </x:c>
      <x:c r="I8" s="20" t="inlineStr">
        <x:is>
          <x:t xml:space="preserve">Beiträge gesamt</x:t>
        </x:is>
      </x:c>
      <x:c r="J8" s="20" t="inlineStr">
        <x:is>
          <x:t xml:space="preserve">A&amp;E-Beiträge</x:t>
        </x:is>
      </x:c>
      <x:c r="K8" s="20" t="inlineStr">
        <x:is>
          <x:t xml:space="preserve">Mindestens eine Dimension</x:t>
        </x:is>
      </x:c>
      <x:c r="L8" s="12" t="inlineStr">
        <x:is>
          <x:t xml:space="preserve">Mindestens zwei Dimensionen</x:t>
        </x:is>
      </x:c>
    </x:row>
    <x:row r="9" ht="22" customHeight="1">
      <x:c r="A9" s="21" t="n">
        <x:v>2018</x:v>
      </x:c>
      <x:c r="B9" s="14">
        <x:v>242148</x:v>
      </x:c>
      <x:c r="C9" s="14">
        <x:v>3254</x:v>
      </x:c>
      <x:c r="D9" s="14">
        <x:v>993</x:v>
      </x:c>
      <x:c r="E9" s="14">
        <x:v>530</x:v>
      </x:c>
      <x:c r="F9" s="14">
        <x:v>41</x:v>
      </x:c>
      <x:c r="G9" s="14">
        <x:v>67</x:v>
      </x:c>
      <x:c r="H9" s="14">
        <x:v>59</x:v>
      </x:c>
      <x:c r="I9" s="14">
        <x:v>6369</x:v>
      </x:c>
      <x:c r="J9" s="14">
        <x:v>616</x:v>
      </x:c>
      <x:c r="K9" s="14">
        <x:v>1417</x:v>
      </x:c>
      <x:c r="L9" s="14">
        <x:v>144</x:v>
      </x:c>
    </x:row>
    <x:row r="10" ht="22" customHeight="1">
      <x:c r="A10" s="24" t="n">
        <x:v>2019</x:v>
      </x:c>
      <x:c r="B10" s="16">
        <x:v>259488</x:v>
      </x:c>
      <x:c r="C10" s="16">
        <x:v>2800</x:v>
      </x:c>
      <x:c r="D10" s="16">
        <x:v>849</x:v>
      </x:c>
      <x:c r="E10" s="16">
        <x:v>435</x:v>
      </x:c>
      <x:c r="F10" s="16">
        <x:v>52</x:v>
      </x:c>
      <x:c r="G10" s="16">
        <x:v>66</x:v>
      </x:c>
      <x:c r="H10" s="16">
        <x:v>59</x:v>
      </x:c>
      <x:c r="I10" s="16">
        <x:v>7505</x:v>
      </x:c>
      <x:c r="J10" s="16">
        <x:v>640</x:v>
      </x:c>
      <x:c r="K10" s="16">
        <x:v>1187</x:v>
      </x:c>
      <x:c r="L10" s="16">
        <x:v>146</x:v>
      </x:c>
    </x:row>
    <x:row r="11" ht="22" customHeight="1">
      <x:c r="A11" s="21" t="n">
        <x:v>2020</x:v>
      </x:c>
      <x:c r="B11" s="14">
        <x:v>244311</x:v>
      </x:c>
      <x:c r="C11" s="14">
        <x:v>3133</x:v>
      </x:c>
      <x:c r="D11" s="14">
        <x:v>734</x:v>
      </x:c>
      <x:c r="E11" s="14">
        <x:v>524</x:v>
      </x:c>
      <x:c r="F11" s="14">
        <x:v>79</x:v>
      </x:c>
      <x:c r="G11" s="14">
        <x:v>64</x:v>
      </x:c>
      <x:c r="H11" s="14">
        <x:v>62</x:v>
      </x:c>
      <x:c r="I11" s="14">
        <x:v>7506</x:v>
      </x:c>
      <x:c r="J11" s="14">
        <x:v>691</x:v>
      </x:c>
      <x:c r="K11" s="14">
        <x:v>1181</x:v>
      </x:c>
      <x:c r="L11" s="14">
        <x:v>153</x:v>
      </x:c>
    </x:row>
    <x:row r="12" ht="22" customHeight="1">
      <x:c r="A12" s="24" t="n">
        <x:v>2021</x:v>
      </x:c>
      <x:c r="B12" s="16">
        <x:v>175631</x:v>
      </x:c>
      <x:c r="C12" s="16">
        <x:v>2320</x:v>
      </x:c>
      <x:c r="D12" s="16">
        <x:v>801</x:v>
      </x:c>
      <x:c r="E12" s="16">
        <x:v>520</x:v>
      </x:c>
      <x:c r="F12" s="16">
        <x:v>59</x:v>
      </x:c>
      <x:c r="G12" s="16">
        <x:v>46</x:v>
      </x:c>
      <x:c r="H12" s="16">
        <x:v>41</x:v>
      </x:c>
      <x:c r="I12" s="16">
        <x:v>5573</x:v>
      </x:c>
      <x:c r="J12" s="16">
        <x:v>493</x:v>
      </x:c>
      <x:c r="K12" s="16">
        <x:v>1207</x:v>
      </x:c>
      <x:c r="L12" s="16">
        <x:v>164</x:v>
      </x:c>
    </x:row>
    <x:row r="13" ht="22" customHeight="1">
      <x:c r="A13" s="21" t="n">
        <x:v>2022</x:v>
      </x:c>
      <x:c r="B13" s="14">
        <x:v>269405</x:v>
      </x:c>
      <x:c r="C13" s="14">
        <x:v>4018</x:v>
      </x:c>
      <x:c r="D13" s="14">
        <x:v>931</x:v>
      </x:c>
      <x:c r="E13" s="14">
        <x:v>1173</x:v>
      </x:c>
      <x:c r="F13" s="14">
        <x:v>403</x:v>
      </x:c>
      <x:c r="G13" s="14">
        <x:v>68</x:v>
      </x:c>
      <x:c r="H13" s="14">
        <x:v>66</x:v>
      </x:c>
      <x:c r="I13" s="14">
        <x:v>8188</x:v>
      </x:c>
      <x:c r="J13" s="14">
        <x:v>927</x:v>
      </x:c>
      <x:c r="K13" s="14">
        <x:v>2154</x:v>
      </x:c>
      <x:c r="L13" s="14">
        <x:v>343</x:v>
      </x:c>
    </x:row>
    <x:row r="14" ht="22" customHeight="1">
      <x:c r="A14" s="24" t="n">
        <x:v>2023</x:v>
      </x:c>
      <x:c r="B14" s="16">
        <x:v>275800</x:v>
      </x:c>
      <x:c r="C14" s="16">
        <x:v>3417</x:v>
      </x:c>
      <x:c r="D14" s="16">
        <x:v>924</x:v>
      </x:c>
      <x:c r="E14" s="16">
        <x:v>748</x:v>
      </x:c>
      <x:c r="F14" s="16">
        <x:v>217</x:v>
      </x:c>
      <x:c r="G14" s="16">
        <x:v>68</x:v>
      </x:c>
      <x:c r="H14" s="16">
        <x:v>67</x:v>
      </x:c>
      <x:c r="I14" s="16">
        <x:v>9254</x:v>
      </x:c>
      <x:c r="J14" s="16">
        <x:v>871</x:v>
      </x:c>
      <x:c r="K14" s="16">
        <x:v>1650</x:v>
      </x:c>
      <x:c r="L14" s="16">
        <x:v>231</x:v>
      </x:c>
    </x:row>
    <x:row r="15" ht="22" customHeight="1">
      <x:c r="A15" s="21" t="n">
        <x:v>2024</x:v>
      </x:c>
      <x:c r="B15" s="14">
        <x:v>241408</x:v>
      </x:c>
      <x:c r="C15" s="14">
        <x:v>4026</x:v>
      </x:c>
      <x:c r="D15" s="14">
        <x:v>707</x:v>
      </x:c>
      <x:c r="E15" s="14">
        <x:v>1242</x:v>
      </x:c>
      <x:c r="F15" s="14">
        <x:v>95</x:v>
      </x:c>
      <x:c r="G15" s="14">
        <x:v>63</x:v>
      </x:c>
      <x:c r="H15" s="14">
        <x:v>61</x:v>
      </x:c>
      <x:c r="I15" s="14">
        <x:v>8114</x:v>
      </x:c>
      <x:c r="J15" s="14">
        <x:v>748</x:v>
      </x:c>
      <x:c r="K15" s="14">
        <x:v>1795</x:v>
      </x:c>
      <x:c r="L15" s="14">
        <x:v>242</x:v>
      </x:c>
    </x:row>
    <x:row r="16" ht="22" customHeight="1">
      <x:c r="A16" s="40" t="n">
        <x:v>2025</x:v>
      </x:c>
      <x:c r="B16" s="35">
        <x:v>204538</x:v>
      </x:c>
      <x:c r="C16" s="35">
        <x:v>2279</x:v>
      </x:c>
      <x:c r="D16" s="35">
        <x:v>542</x:v>
      </x:c>
      <x:c r="E16" s="35">
        <x:v>677</x:v>
      </x:c>
      <x:c r="F16" s="35">
        <x:v>102</x:v>
      </x:c>
      <x:c r="G16" s="35">
        <x:v>57</x:v>
      </x:c>
      <x:c r="H16" s="35">
        <x:v>54</x:v>
      </x:c>
      <x:c r="I16" s="35">
        <x:v>6658</x:v>
      </x:c>
      <x:c r="J16" s="35">
        <x:v>570</x:v>
      </x:c>
      <x:c r="K16" s="35">
        <x:v>1155</x:v>
      </x:c>
      <x:c r="L16" s="35">
        <x:v>158</x:v>
      </x:c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6" customHeight="1">
      <x:c r="A19" s="10" t="inlineStr">
        <x:is>
          <x:t xml:space="preserve">Jahr und politische Zuordnung</x:t>
        </x:is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54" customHeight="1">
      <x:c r="A20" s="11" t="inlineStr">
        <x:is>
          <x:t xml:space="preserve">Jahr</x:t>
        </x:is>
      </x:c>
      <x:c r="B20" s="20" t="inlineStr">
        <x:is>
          <x:t xml:space="preserve">Fraktion / Zuordnung</x:t>
        </x:is>
      </x:c>
      <x:c r="C20" s="20" t="inlineStr">
        <x:is>
          <x:t xml:space="preserve">Plenarsätze</x:t>
        </x:is>
      </x:c>
      <x:c r="D20" s="20" t="inlineStr">
        <x:is>
          <x:t xml:space="preserve">A&amp;E-Sätze</x:t>
        </x:is>
      </x:c>
      <x:c r="E20" s="20" t="inlineStr">
        <x:is>
          <x:t xml:space="preserve">Ökologie n</x:t>
        </x:is>
      </x:c>
      <x:c r="F20" s="20" t="inlineStr">
        <x:is>
          <x:t xml:space="preserve">Ökonomie n</x:t>
        </x:is>
      </x:c>
      <x:c r="G20" s="20" t="inlineStr">
        <x:is>
          <x:t xml:space="preserve">S&amp;R n</x:t>
        </x:is>
      </x:c>
      <x:c r="H20" s="20" t="inlineStr">
        <x:is>
          <x:t xml:space="preserve">Beiträge gesamt</x:t>
        </x:is>
      </x:c>
      <x:c r="I20" s="20" t="inlineStr">
        <x:is>
          <x:t xml:space="preserve">A&amp;E-Beiträge</x:t>
        </x:is>
      </x:c>
      <x:c r="J20" s="12" t="inlineStr">
        <x:is>
          <x:t xml:space="preserve">A&amp;E-Tage</x:t>
        </x:is>
      </x:c>
      <x:c r="K20" s="1"/>
      <x:c r="L20" s="1"/>
    </x:row>
    <x:row r="21" ht="22" customHeight="1">
      <x:c r="A21" s="21" t="n">
        <x:v>2018</x:v>
      </x:c>
      <x:c r="B21" s="13" t="inlineStr">
        <x:is>
          <x:t xml:space="preserve">CDU/CSU</x:t>
        </x:is>
      </x:c>
      <x:c r="C21" s="14">
        <x:v>79306</x:v>
      </x:c>
      <x:c r="D21" s="14">
        <x:v>1092</x:v>
      </x:c>
      <x:c r="E21" s="14">
        <x:v>272</x:v>
      </x:c>
      <x:c r="F21" s="14">
        <x:v>155</x:v>
      </x:c>
      <x:c r="G21" s="14">
        <x:v>11</x:v>
      </x:c>
      <x:c r="H21" s="14">
        <x:v>1901</x:v>
      </x:c>
      <x:c r="I21" s="14">
        <x:v>193</x:v>
      </x:c>
      <x:c r="J21" s="14">
        <x:v>48</x:v>
      </x:c>
      <x:c r="K21" s="1"/>
      <x:c r="L21" s="1"/>
    </x:row>
    <x:row r="22" ht="22" customHeight="1">
      <x:c r="A22" s="24" t="n">
        <x:v>2019</x:v>
      </x:c>
      <x:c r="B22" s="15" t="inlineStr">
        <x:is>
          <x:t xml:space="preserve">CDU/CSU</x:t>
        </x:is>
      </x:c>
      <x:c r="C22" s="16">
        <x:v>84032</x:v>
      </x:c>
      <x:c r="D22" s="16">
        <x:v>946</x:v>
      </x:c>
      <x:c r="E22" s="16">
        <x:v>272</x:v>
      </x:c>
      <x:c r="F22" s="16">
        <x:v>127</x:v>
      </x:c>
      <x:c r="G22" s="16">
        <x:v>20</x:v>
      </x:c>
      <x:c r="H22" s="16">
        <x:v>2331</x:v>
      </x:c>
      <x:c r="I22" s="16">
        <x:v>203</x:v>
      </x:c>
      <x:c r="J22" s="16">
        <x:v>51</x:v>
      </x:c>
      <x:c r="K22" s="1"/>
      <x:c r="L22" s="1"/>
    </x:row>
    <x:row r="23" ht="22" customHeight="1">
      <x:c r="A23" s="21" t="n">
        <x:v>2020</x:v>
      </x:c>
      <x:c r="B23" s="13" t="inlineStr">
        <x:is>
          <x:t xml:space="preserve">CDU/CSU</x:t>
        </x:is>
      </x:c>
      <x:c r="C23" s="14">
        <x:v>82026</x:v>
      </x:c>
      <x:c r="D23" s="14">
        <x:v>1242</x:v>
      </x:c>
      <x:c r="E23" s="14">
        <x:v>277</x:v>
      </x:c>
      <x:c r="F23" s="14">
        <x:v>164</x:v>
      </x:c>
      <x:c r="G23" s="14">
        <x:v>23</x:v>
      </x:c>
      <x:c r="H23" s="14">
        <x:v>2354</x:v>
      </x:c>
      <x:c r="I23" s="14">
        <x:v>234</x:v>
      </x:c>
      <x:c r="J23" s="14">
        <x:v>48</x:v>
      </x:c>
      <x:c r="K23" s="1"/>
      <x:c r="L23" s="1"/>
    </x:row>
    <x:row r="24" ht="22" customHeight="1">
      <x:c r="A24" s="24" t="n">
        <x:v>2021</x:v>
      </x:c>
      <x:c r="B24" s="15" t="inlineStr">
        <x:is>
          <x:t xml:space="preserve">CDU/CSU</x:t>
        </x:is>
      </x:c>
      <x:c r="C24" s="16">
        <x:v>57909</x:v>
      </x:c>
      <x:c r="D24" s="16">
        <x:v>1012</x:v>
      </x:c>
      <x:c r="E24" s="16">
        <x:v>386</x:v>
      </x:c>
      <x:c r="F24" s="16">
        <x:v>204</x:v>
      </x:c>
      <x:c r="G24" s="16">
        <x:v>34</x:v>
      </x:c>
      <x:c r="H24" s="16">
        <x:v>1702</x:v>
      </x:c>
      <x:c r="I24" s="16">
        <x:v>198</x:v>
      </x:c>
      <x:c r="J24" s="16">
        <x:v>39</x:v>
      </x:c>
      <x:c r="K24" s="1"/>
      <x:c r="L24" s="1"/>
    </x:row>
    <x:row r="25" ht="22" customHeight="1">
      <x:c r="A25" s="21" t="n">
        <x:v>2022</x:v>
      </x:c>
      <x:c r="B25" s="13" t="inlineStr">
        <x:is>
          <x:t xml:space="preserve">CDU/CSU</x:t>
        </x:is>
      </x:c>
      <x:c r="C25" s="14">
        <x:v>67549</x:v>
      </x:c>
      <x:c r="D25" s="14">
        <x:v>1003</x:v>
      </x:c>
      <x:c r="E25" s="14">
        <x:v>221</x:v>
      </x:c>
      <x:c r="F25" s="14">
        <x:v>248</x:v>
      </x:c>
      <x:c r="G25" s="14">
        <x:v>80</x:v>
      </x:c>
      <x:c r="H25" s="14">
        <x:v>1785</x:v>
      </x:c>
      <x:c r="I25" s="14">
        <x:v>199</x:v>
      </x:c>
      <x:c r="J25" s="14">
        <x:v>53</x:v>
      </x:c>
      <x:c r="K25" s="1"/>
      <x:c r="L25" s="1"/>
    </x:row>
    <x:row r="26" ht="22" customHeight="1">
      <x:c r="A26" s="24" t="n">
        <x:v>2023</x:v>
      </x:c>
      <x:c r="B26" s="15" t="inlineStr">
        <x:is>
          <x:t xml:space="preserve">CDU/CSU</x:t>
        </x:is>
      </x:c>
      <x:c r="C26" s="16">
        <x:v>67217</x:v>
      </x:c>
      <x:c r="D26" s="16">
        <x:v>792</x:v>
      </x:c>
      <x:c r="E26" s="16">
        <x:v>186</x:v>
      </x:c>
      <x:c r="F26" s="16">
        <x:v>168</x:v>
      </x:c>
      <x:c r="G26" s="16">
        <x:v>36</x:v>
      </x:c>
      <x:c r="H26" s="16">
        <x:v>2000</x:v>
      </x:c>
      <x:c r="I26" s="16">
        <x:v>184</x:v>
      </x:c>
      <x:c r="J26" s="16">
        <x:v>54</x:v>
      </x:c>
      <x:c r="K26" s="1"/>
      <x:c r="L26" s="1"/>
    </x:row>
    <x:row r="27" ht="22" customHeight="1">
      <x:c r="A27" s="21" t="n">
        <x:v>2024</x:v>
      </x:c>
      <x:c r="B27" s="13" t="inlineStr">
        <x:is>
          <x:t xml:space="preserve">CDU/CSU</x:t>
        </x:is>
      </x:c>
      <x:c r="C27" s="14">
        <x:v>59144</x:v>
      </x:c>
      <x:c r="D27" s="14">
        <x:v>1054</x:v>
      </x:c>
      <x:c r="E27" s="14">
        <x:v>160</x:v>
      </x:c>
      <x:c r="F27" s="14">
        <x:v>374</x:v>
      </x:c>
      <x:c r="G27" s="14">
        <x:v>15</x:v>
      </x:c>
      <x:c r="H27" s="14">
        <x:v>1782</x:v>
      </x:c>
      <x:c r="I27" s="14">
        <x:v>174</x:v>
      </x:c>
      <x:c r="J27" s="14">
        <x:v>42</x:v>
      </x:c>
      <x:c r="K27" s="1"/>
      <x:c r="L27" s="1"/>
    </x:row>
    <x:row r="28" ht="22" customHeight="1">
      <x:c r="A28" s="24" t="n">
        <x:v>2025</x:v>
      </x:c>
      <x:c r="B28" s="15" t="inlineStr">
        <x:is>
          <x:t xml:space="preserve">CDU/CSU</x:t>
        </x:is>
      </x:c>
      <x:c r="C28" s="16">
        <x:v>63335</x:v>
      </x:c>
      <x:c r="D28" s="16">
        <x:v>746</x:v>
      </x:c>
      <x:c r="E28" s="16">
        <x:v>151</x:v>
      </x:c>
      <x:c r="F28" s="16">
        <x:v>218</x:v>
      </x:c>
      <x:c r="G28" s="16">
        <x:v>35</x:v>
      </x:c>
      <x:c r="H28" s="16">
        <x:v>2037</x:v>
      </x:c>
      <x:c r="I28" s="16">
        <x:v>174</x:v>
      </x:c>
      <x:c r="J28" s="16">
        <x:v>44</x:v>
      </x:c>
      <x:c r="K28" s="1"/>
      <x:c r="L28" s="1"/>
    </x:row>
    <x:row r="29" ht="22" customHeight="1">
      <x:c r="A29" s="21" t="n">
        <x:v>2018</x:v>
      </x:c>
      <x:c r="B29" s="13" t="inlineStr">
        <x:is>
          <x:t xml:space="preserve">SPD</x:t>
        </x:is>
      </x:c>
      <x:c r="C29" s="14">
        <x:v>52601</x:v>
      </x:c>
      <x:c r="D29" s="14">
        <x:v>744</x:v>
      </x:c>
      <x:c r="E29" s="14">
        <x:v>267</x:v>
      </x:c>
      <x:c r="F29" s="14">
        <x:v>91</x:v>
      </x:c>
      <x:c r="G29" s="14">
        <x:v>7</x:v>
      </x:c>
      <x:c r="H29" s="14">
        <x:v>1403</x:v>
      </x:c>
      <x:c r="I29" s="14">
        <x:v>129</x:v>
      </x:c>
      <x:c r="J29" s="14">
        <x:v>42</x:v>
      </x:c>
      <x:c r="K29" s="1"/>
      <x:c r="L29" s="1"/>
    </x:row>
    <x:row r="30" ht="22" customHeight="1">
      <x:c r="A30" s="24" t="n">
        <x:v>2019</x:v>
      </x:c>
      <x:c r="B30" s="15" t="inlineStr">
        <x:is>
          <x:t xml:space="preserve">SPD</x:t>
        </x:is>
      </x:c>
      <x:c r="C30" s="16">
        <x:v>56839</x:v>
      </x:c>
      <x:c r="D30" s="16">
        <x:v>554</x:v>
      </x:c>
      <x:c r="E30" s="16">
        <x:v>190</x:v>
      </x:c>
      <x:c r="F30" s="16">
        <x:v>63</x:v>
      </x:c>
      <x:c r="G30" s="16">
        <x:v>9</x:v>
      </x:c>
      <x:c r="H30" s="16">
        <x:v>1606</x:v>
      </x:c>
      <x:c r="I30" s="16">
        <x:v>125</x:v>
      </x:c>
      <x:c r="J30" s="16">
        <x:v>44</x:v>
      </x:c>
      <x:c r="K30" s="1"/>
      <x:c r="L30" s="1"/>
    </x:row>
    <x:row r="31" ht="22" customHeight="1">
      <x:c r="A31" s="21" t="n">
        <x:v>2020</x:v>
      </x:c>
      <x:c r="B31" s="13" t="inlineStr">
        <x:is>
          <x:t xml:space="preserve">SPD</x:t>
        </x:is>
      </x:c>
      <x:c r="C31" s="14">
        <x:v>53378</x:v>
      </x:c>
      <x:c r="D31" s="14">
        <x:v>538</x:v>
      </x:c>
      <x:c r="E31" s="14">
        <x:v>102</x:v>
      </x:c>
      <x:c r="F31" s="14">
        <x:v>70</x:v>
      </x:c>
      <x:c r="G31" s="14">
        <x:v>14</x:v>
      </x:c>
      <x:c r="H31" s="14">
        <x:v>1618</x:v>
      </x:c>
      <x:c r="I31" s="14">
        <x:v>146</x:v>
      </x:c>
      <x:c r="J31" s="14">
        <x:v>53</x:v>
      </x:c>
      <x:c r="K31" s="1"/>
      <x:c r="L31" s="1"/>
    </x:row>
    <x:row r="32" ht="22" customHeight="1">
      <x:c r="A32" s="24" t="n">
        <x:v>2021</x:v>
      </x:c>
      <x:c r="B32" s="15" t="inlineStr">
        <x:is>
          <x:t xml:space="preserve">SPD</x:t>
        </x:is>
      </x:c>
      <x:c r="C32" s="16">
        <x:v>39239</x:v>
      </x:c>
      <x:c r="D32" s="16">
        <x:v>392</x:v>
      </x:c>
      <x:c r="E32" s="16">
        <x:v>139</x:v>
      </x:c>
      <x:c r="F32" s="16">
        <x:v>75</x:v>
      </x:c>
      <x:c r="G32" s="16">
        <x:v>3</x:v>
      </x:c>
      <x:c r="H32" s="16">
        <x:v>1215</x:v>
      </x:c>
      <x:c r="I32" s="16">
        <x:v>83</x:v>
      </x:c>
      <x:c r="J32" s="16">
        <x:v>30</x:v>
      </x:c>
      <x:c r="K32" s="1"/>
      <x:c r="L32" s="1"/>
    </x:row>
    <x:row r="33" ht="22" customHeight="1">
      <x:c r="A33" s="21" t="n">
        <x:v>2022</x:v>
      </x:c>
      <x:c r="B33" s="13" t="inlineStr">
        <x:is>
          <x:t xml:space="preserve">SPD</x:t>
        </x:is>
      </x:c>
      <x:c r="C33" s="14">
        <x:v>72041</x:v>
      </x:c>
      <x:c r="D33" s="14">
        <x:v>975</x:v>
      </x:c>
      <x:c r="E33" s="14">
        <x:v>241</x:v>
      </x:c>
      <x:c r="F33" s="14">
        <x:v>256</x:v>
      </x:c>
      <x:c r="G33" s="14">
        <x:v>97</x:v>
      </x:c>
      <x:c r="H33" s="14">
        <x:v>2101</x:v>
      </x:c>
      <x:c r="I33" s="14">
        <x:v>223</x:v>
      </x:c>
      <x:c r="J33" s="14">
        <x:v>61</x:v>
      </x:c>
      <x:c r="K33" s="1"/>
      <x:c r="L33" s="1"/>
    </x:row>
    <x:row r="34" ht="22" customHeight="1">
      <x:c r="A34" s="24" t="n">
        <x:v>2023</x:v>
      </x:c>
      <x:c r="B34" s="15" t="inlineStr">
        <x:is>
          <x:t xml:space="preserve">SPD</x:t>
        </x:is>
      </x:c>
      <x:c r="C34" s="16">
        <x:v>75672</x:v>
      </x:c>
      <x:c r="D34" s="16">
        <x:v>915</x:v>
      </x:c>
      <x:c r="E34" s="16">
        <x:v>281</x:v>
      </x:c>
      <x:c r="F34" s="16">
        <x:v>164</x:v>
      </x:c>
      <x:c r="G34" s="16">
        <x:v>74</x:v>
      </x:c>
      <x:c r="H34" s="16">
        <x:v>2453</x:v>
      </x:c>
      <x:c r="I34" s="16">
        <x:v>205</x:v>
      </x:c>
      <x:c r="J34" s="16">
        <x:v>52</x:v>
      </x:c>
      <x:c r="K34" s="1"/>
      <x:c r="L34" s="1"/>
    </x:row>
    <x:row r="35" ht="22" customHeight="1">
      <x:c r="A35" s="21" t="n">
        <x:v>2024</x:v>
      </x:c>
      <x:c r="B35" s="13" t="inlineStr">
        <x:is>
          <x:t xml:space="preserve">SPD</x:t>
        </x:is>
      </x:c>
      <x:c r="C35" s="14">
        <x:v>67360</x:v>
      </x:c>
      <x:c r="D35" s="14">
        <x:v>1037</x:v>
      </x:c>
      <x:c r="E35" s="14">
        <x:v>210</x:v>
      </x:c>
      <x:c r="F35" s="14">
        <x:v>256</x:v>
      </x:c>
      <x:c r="G35" s="14">
        <x:v>26</x:v>
      </x:c>
      <x:c r="H35" s="14">
        <x:v>2145</x:v>
      </x:c>
      <x:c r="I35" s="14">
        <x:v>158</x:v>
      </x:c>
      <x:c r="J35" s="14">
        <x:v>50</x:v>
      </x:c>
      <x:c r="K35" s="1"/>
      <x:c r="L35" s="1"/>
    </x:row>
    <x:row r="36" ht="22" customHeight="1">
      <x:c r="A36" s="24" t="n">
        <x:v>2025</x:v>
      </x:c>
      <x:c r="B36" s="15" t="inlineStr">
        <x:is>
          <x:t xml:space="preserve">SPD</x:t>
        </x:is>
      </x:c>
      <x:c r="C36" s="16">
        <x:v>42928</x:v>
      </x:c>
      <x:c r="D36" s="16">
        <x:v>411</x:v>
      </x:c>
      <x:c r="E36" s="16">
        <x:v>131</x:v>
      </x:c>
      <x:c r="F36" s="16">
        <x:v>98</x:v>
      </x:c>
      <x:c r="G36" s="16">
        <x:v>17</x:v>
      </x:c>
      <x:c r="H36" s="16">
        <x:v>1471</x:v>
      </x:c>
      <x:c r="I36" s="16">
        <x:v>108</x:v>
      </x:c>
      <x:c r="J36" s="16">
        <x:v>40</x:v>
      </x:c>
      <x:c r="K36" s="1"/>
      <x:c r="L36" s="1"/>
    </x:row>
    <x:row r="37" ht="22" customHeight="1">
      <x:c r="A37" s="21" t="n">
        <x:v>2018</x:v>
      </x:c>
      <x:c r="B37" s="13" t="inlineStr">
        <x:is>
          <x:t xml:space="preserve">Grüne</x:t>
        </x:is>
      </x:c>
      <x:c r="C37" s="14">
        <x:v>26333</x:v>
      </x:c>
      <x:c r="D37" s="14">
        <x:v>320</x:v>
      </x:c>
      <x:c r="E37" s="14">
        <x:v>122</x:v>
      </x:c>
      <x:c r="F37" s="14">
        <x:v>49</x:v>
      </x:c>
      <x:c r="G37" s="14">
        <x:v>3</x:v>
      </x:c>
      <x:c r="H37" s="14">
        <x:v>718</x:v>
      </x:c>
      <x:c r="I37" s="14">
        <x:v>76</x:v>
      </x:c>
      <x:c r="J37" s="14">
        <x:v>38</x:v>
      </x:c>
      <x:c r="K37" s="1"/>
      <x:c r="L37" s="1"/>
    </x:row>
    <x:row r="38" ht="22" customHeight="1">
      <x:c r="A38" s="24" t="n">
        <x:v>2019</x:v>
      </x:c>
      <x:c r="B38" s="15" t="inlineStr">
        <x:is>
          <x:t xml:space="preserve">Grüne</x:t>
        </x:is>
      </x:c>
      <x:c r="C38" s="16">
        <x:v>27485</x:v>
      </x:c>
      <x:c r="D38" s="16">
        <x:v>329</x:v>
      </x:c>
      <x:c r="E38" s="16">
        <x:v>118</x:v>
      </x:c>
      <x:c r="F38" s="16">
        <x:v>49</x:v>
      </x:c>
      <x:c r="G38" s="16">
        <x:v>7</x:v>
      </x:c>
      <x:c r="H38" s="16">
        <x:v>838</x:v>
      </x:c>
      <x:c r="I38" s="16">
        <x:v>79</x:v>
      </x:c>
      <x:c r="J38" s="16">
        <x:v>42</x:v>
      </x:c>
      <x:c r="K38" s="1"/>
      <x:c r="L38" s="1"/>
    </x:row>
    <x:row r="39" ht="22" customHeight="1">
      <x:c r="A39" s="21" t="n">
        <x:v>2020</x:v>
      </x:c>
      <x:c r="B39" s="13" t="inlineStr">
        <x:is>
          <x:t xml:space="preserve">Grüne</x:t>
        </x:is>
      </x:c>
      <x:c r="C39" s="14">
        <x:v>25607</x:v>
      </x:c>
      <x:c r="D39" s="14">
        <x:v>330</x:v>
      </x:c>
      <x:c r="E39" s="14">
        <x:v>111</x:v>
      </x:c>
      <x:c r="F39" s="14">
        <x:v>59</x:v>
      </x:c>
      <x:c r="G39" s="14">
        <x:v>8</x:v>
      </x:c>
      <x:c r="H39" s="14">
        <x:v>834</x:v>
      </x:c>
      <x:c r="I39" s="14">
        <x:v>81</x:v>
      </x:c>
      <x:c r="J39" s="14">
        <x:v>39</x:v>
      </x:c>
      <x:c r="K39" s="1"/>
      <x:c r="L39" s="1"/>
    </x:row>
    <x:row r="40" ht="22" customHeight="1">
      <x:c r="A40" s="24" t="n">
        <x:v>2021</x:v>
      </x:c>
      <x:c r="B40" s="15" t="inlineStr">
        <x:is>
          <x:t xml:space="preserve">Grüne</x:t>
        </x:is>
      </x:c>
      <x:c r="C40" s="16">
        <x:v>18514</x:v>
      </x:c>
      <x:c r="D40" s="16">
        <x:v>258</x:v>
      </x:c>
      <x:c r="E40" s="16">
        <x:v>95</x:v>
      </x:c>
      <x:c r="F40" s="16">
        <x:v>54</x:v>
      </x:c>
      <x:c r="G40" s="16">
        <x:v>2</x:v>
      </x:c>
      <x:c r="H40" s="16">
        <x:v>633</x:v>
      </x:c>
      <x:c r="I40" s="16">
        <x:v>56</x:v>
      </x:c>
      <x:c r="J40" s="16">
        <x:v>26</x:v>
      </x:c>
      <x:c r="K40" s="1"/>
      <x:c r="L40" s="1"/>
    </x:row>
    <x:row r="41" ht="22" customHeight="1">
      <x:c r="A41" s="21" t="n">
        <x:v>2022</x:v>
      </x:c>
      <x:c r="B41" s="13" t="inlineStr">
        <x:is>
          <x:t xml:space="preserve">Grüne</x:t>
        </x:is>
      </x:c>
      <x:c r="C41" s="14">
        <x:v>43256</x:v>
      </x:c>
      <x:c r="D41" s="14">
        <x:v>766</x:v>
      </x:c>
      <x:c r="E41" s="14">
        <x:v>242</x:v>
      </x:c>
      <x:c r="F41" s="14">
        <x:v>208</x:v>
      </x:c>
      <x:c r="G41" s="14">
        <x:v>102</x:v>
      </x:c>
      <x:c r="H41" s="14">
        <x:v>1407</x:v>
      </x:c>
      <x:c r="I41" s="14">
        <x:v>191</x:v>
      </x:c>
      <x:c r="J41" s="14">
        <x:v>55</x:v>
      </x:c>
      <x:c r="K41" s="1"/>
      <x:c r="L41" s="1"/>
    </x:row>
    <x:row r="42" ht="22" customHeight="1">
      <x:c r="A42" s="24" t="n">
        <x:v>2023</x:v>
      </x:c>
      <x:c r="B42" s="15" t="inlineStr">
        <x:is>
          <x:t xml:space="preserve">Grüne</x:t>
        </x:is>
      </x:c>
      <x:c r="C42" s="16">
        <x:v>44213</x:v>
      </x:c>
      <x:c r="D42" s="16">
        <x:v>663</x:v>
      </x:c>
      <x:c r="E42" s="16">
        <x:v>212</x:v>
      </x:c>
      <x:c r="F42" s="16">
        <x:v>130</x:v>
      </x:c>
      <x:c r="G42" s="16">
        <x:v>42</x:v>
      </x:c>
      <x:c r="H42" s="16">
        <x:v>1571</x:v>
      </x:c>
      <x:c r="I42" s="16">
        <x:v>200</x:v>
      </x:c>
      <x:c r="J42" s="16">
        <x:v>52</x:v>
      </x:c>
      <x:c r="K42" s="1"/>
      <x:c r="L42" s="1"/>
    </x:row>
    <x:row r="43" ht="22" customHeight="1">
      <x:c r="A43" s="21" t="n">
        <x:v>2024</x:v>
      </x:c>
      <x:c r="B43" s="13" t="inlineStr">
        <x:is>
          <x:t xml:space="preserve">Grüne</x:t>
        </x:is>
      </x:c>
      <x:c r="C43" s="14">
        <x:v>40722</x:v>
      </x:c>
      <x:c r="D43" s="14">
        <x:v>716</x:v>
      </x:c>
      <x:c r="E43" s="14">
        <x:v>173</x:v>
      </x:c>
      <x:c r="F43" s="14">
        <x:v>200</x:v>
      </x:c>
      <x:c r="G43" s="14">
        <x:v>27</x:v>
      </x:c>
      <x:c r="H43" s="14">
        <x:v>1420</x:v>
      </x:c>
      <x:c r="I43" s="14">
        <x:v>159</x:v>
      </x:c>
      <x:c r="J43" s="14">
        <x:v>39</x:v>
      </x:c>
      <x:c r="K43" s="1"/>
      <x:c r="L43" s="1"/>
    </x:row>
    <x:row r="44" ht="22" customHeight="1">
      <x:c r="A44" s="24" t="n">
        <x:v>2025</x:v>
      </x:c>
      <x:c r="B44" s="15" t="inlineStr">
        <x:is>
          <x:t xml:space="preserve">Grüne</x:t>
        </x:is>
      </x:c>
      <x:c r="C44" s="16">
        <x:v>28812</x:v>
      </x:c>
      <x:c r="D44" s="16">
        <x:v>358</x:v>
      </x:c>
      <x:c r="E44" s="16">
        <x:v>115</x:v>
      </x:c>
      <x:c r="F44" s="16">
        <x:v>79</x:v>
      </x:c>
      <x:c r="G44" s="16">
        <x:v>15</x:v>
      </x:c>
      <x:c r="H44" s="16">
        <x:v>986</x:v>
      </x:c>
      <x:c r="I44" s="16">
        <x:v>118</x:v>
      </x:c>
      <x:c r="J44" s="16">
        <x:v>39</x:v>
      </x:c>
      <x:c r="K44" s="1"/>
      <x:c r="L44" s="1"/>
    </x:row>
    <x:row r="45" ht="22" customHeight="1">
      <x:c r="A45" s="21" t="n">
        <x:v>2018</x:v>
      </x:c>
      <x:c r="B45" s="13" t="inlineStr">
        <x:is>
          <x:t xml:space="preserve">AfD</x:t>
        </x:is>
      </x:c>
      <x:c r="C45" s="14">
        <x:v>30758</x:v>
      </x:c>
      <x:c r="D45" s="14">
        <x:v>371</x:v>
      </x:c>
      <x:c r="E45" s="14">
        <x:v>109</x:v>
      </x:c>
      <x:c r="F45" s="14">
        <x:v>77</x:v>
      </x:c>
      <x:c r="G45" s="14">
        <x:v>5</x:v>
      </x:c>
      <x:c r="H45" s="14">
        <x:v>856</x:v>
      </x:c>
      <x:c r="I45" s="14">
        <x:v>74</x:v>
      </x:c>
      <x:c r="J45" s="14">
        <x:v>39</x:v>
      </x:c>
      <x:c r="K45" s="1"/>
      <x:c r="L45" s="1"/>
    </x:row>
    <x:row r="46" ht="22" customHeight="1">
      <x:c r="A46" s="24" t="n">
        <x:v>2019</x:v>
      </x:c>
      <x:c r="B46" s="15" t="inlineStr">
        <x:is>
          <x:t xml:space="preserve">AfD</x:t>
        </x:is>
      </x:c>
      <x:c r="C46" s="16">
        <x:v>33671</x:v>
      </x:c>
      <x:c r="D46" s="16">
        <x:v>345</x:v>
      </x:c>
      <x:c r="E46" s="16">
        <x:v>83</x:v>
      </x:c>
      <x:c r="F46" s="16">
        <x:v>60</x:v>
      </x:c>
      <x:c r="G46" s="16">
        <x:v>6</x:v>
      </x:c>
      <x:c r="H46" s="16">
        <x:v>973</x:v>
      </x:c>
      <x:c r="I46" s="16">
        <x:v>83</x:v>
      </x:c>
      <x:c r="J46" s="16">
        <x:v>38</x:v>
      </x:c>
      <x:c r="K46" s="1"/>
      <x:c r="L46" s="1"/>
    </x:row>
    <x:row r="47" ht="22" customHeight="1">
      <x:c r="A47" s="21" t="n">
        <x:v>2020</x:v>
      </x:c>
      <x:c r="B47" s="13" t="inlineStr">
        <x:is>
          <x:t xml:space="preserve">AfD</x:t>
        </x:is>
      </x:c>
      <x:c r="C47" s="14">
        <x:v>30408</x:v>
      </x:c>
      <x:c r="D47" s="14">
        <x:v>402</x:v>
      </x:c>
      <x:c r="E47" s="14">
        <x:v>86</x:v>
      </x:c>
      <x:c r="F47" s="14">
        <x:v>95</x:v>
      </x:c>
      <x:c r="G47" s="14">
        <x:v>15</x:v>
      </x:c>
      <x:c r="H47" s="14">
        <x:v>971</x:v>
      </x:c>
      <x:c r="I47" s="14">
        <x:v>71</x:v>
      </x:c>
      <x:c r="J47" s="14">
        <x:v>36</x:v>
      </x:c>
      <x:c r="K47" s="1"/>
      <x:c r="L47" s="1"/>
    </x:row>
    <x:row r="48" ht="22" customHeight="1">
      <x:c r="A48" s="24" t="n">
        <x:v>2021</x:v>
      </x:c>
      <x:c r="B48" s="15" t="inlineStr">
        <x:is>
          <x:t xml:space="preserve">AfD</x:t>
        </x:is>
      </x:c>
      <x:c r="C48" s="16">
        <x:v>21436</x:v>
      </x:c>
      <x:c r="D48" s="16">
        <x:v>274</x:v>
      </x:c>
      <x:c r="E48" s="16">
        <x:v>56</x:v>
      </x:c>
      <x:c r="F48" s="16">
        <x:v>79</x:v>
      </x:c>
      <x:c r="G48" s="16">
        <x:v>9</x:v>
      </x:c>
      <x:c r="H48" s="16">
        <x:v>690</x:v>
      </x:c>
      <x:c r="I48" s="16">
        <x:v>52</x:v>
      </x:c>
      <x:c r="J48" s="16">
        <x:v>29</x:v>
      </x:c>
      <x:c r="K48" s="1"/>
      <x:c r="L48" s="1"/>
    </x:row>
    <x:row r="49" ht="22" customHeight="1">
      <x:c r="A49" s="21" t="n">
        <x:v>2022</x:v>
      </x:c>
      <x:c r="B49" s="13" t="inlineStr">
        <x:is>
          <x:t xml:space="preserve">AfD</x:t>
        </x:is>
      </x:c>
      <x:c r="C49" s="14">
        <x:v>29311</x:v>
      </x:c>
      <x:c r="D49" s="14">
        <x:v>510</x:v>
      </x:c>
      <x:c r="E49" s="14">
        <x:v>67</x:v>
      </x:c>
      <x:c r="F49" s="14">
        <x:v>180</x:v>
      </x:c>
      <x:c r="G49" s="14">
        <x:v>54</x:v>
      </x:c>
      <x:c r="H49" s="14">
        <x:v>981</x:v>
      </x:c>
      <x:c r="I49" s="14">
        <x:v>119</x:v>
      </x:c>
      <x:c r="J49" s="14">
        <x:v>51</x:v>
      </x:c>
      <x:c r="K49" s="1"/>
      <x:c r="L49" s="1"/>
    </x:row>
    <x:row r="50" ht="22" customHeight="1">
      <x:c r="A50" s="24" t="n">
        <x:v>2023</x:v>
      </x:c>
      <x:c r="B50" s="15" t="inlineStr">
        <x:is>
          <x:t xml:space="preserve">AfD</x:t>
        </x:is>
      </x:c>
      <x:c r="C50" s="16">
        <x:v>29248</x:v>
      </x:c>
      <x:c r="D50" s="16">
        <x:v>407</x:v>
      </x:c>
      <x:c r="E50" s="16">
        <x:v>72</x:v>
      </x:c>
      <x:c r="F50" s="16">
        <x:v>104</x:v>
      </x:c>
      <x:c r="G50" s="16">
        <x:v>31</x:v>
      </x:c>
      <x:c r="H50" s="16">
        <x:v>1050</x:v>
      </x:c>
      <x:c r="I50" s="16">
        <x:v>93</x:v>
      </x:c>
      <x:c r="J50" s="16">
        <x:v>42</x:v>
      </x:c>
      <x:c r="K50" s="1"/>
      <x:c r="L50" s="1"/>
    </x:row>
    <x:row r="51" ht="22" customHeight="1">
      <x:c r="A51" s="21" t="n">
        <x:v>2024</x:v>
      </x:c>
      <x:c r="B51" s="13" t="inlineStr">
        <x:is>
          <x:t xml:space="preserve">AfD</x:t>
        </x:is>
      </x:c>
      <x:c r="C51" s="14">
        <x:v>25905</x:v>
      </x:c>
      <x:c r="D51" s="14">
        <x:v>529</x:v>
      </x:c>
      <x:c r="E51" s="14">
        <x:v>50</x:v>
      </x:c>
      <x:c r="F51" s="14">
        <x:v>177</x:v>
      </x:c>
      <x:c r="G51" s="14">
        <x:v>16</x:v>
      </x:c>
      <x:c r="H51" s="14">
        <x:v>892</x:v>
      </x:c>
      <x:c r="I51" s="14">
        <x:v>109</x:v>
      </x:c>
      <x:c r="J51" s="14">
        <x:v>41</x:v>
      </x:c>
      <x:c r="K51" s="1"/>
      <x:c r="L51" s="1"/>
    </x:row>
    <x:row r="52" ht="22" customHeight="1">
      <x:c r="A52" s="24" t="n">
        <x:v>2025</x:v>
      </x:c>
      <x:c r="B52" s="15" t="inlineStr">
        <x:is>
          <x:t xml:space="preserve">AfD</x:t>
        </x:is>
      </x:c>
      <x:c r="C52" s="16">
        <x:v>44421</x:v>
      </x:c>
      <x:c r="D52" s="16">
        <x:v>511</x:v>
      </x:c>
      <x:c r="E52" s="16">
        <x:v>88</x:v>
      </x:c>
      <x:c r="F52" s="16">
        <x:v>179</x:v>
      </x:c>
      <x:c r="G52" s="16">
        <x:v>25</x:v>
      </x:c>
      <x:c r="H52" s="16">
        <x:v>1335</x:v>
      </x:c>
      <x:c r="I52" s="16">
        <x:v>98</x:v>
      </x:c>
      <x:c r="J52" s="16">
        <x:v>35</x:v>
      </x:c>
      <x:c r="K52" s="1"/>
      <x:c r="L52" s="1"/>
    </x:row>
    <x:row r="53" ht="22" customHeight="1">
      <x:c r="A53" s="21" t="n">
        <x:v>2018</x:v>
      </x:c>
      <x:c r="B53" s="13" t="inlineStr">
        <x:is>
          <x:t xml:space="preserve">FDP</x:t>
        </x:is>
      </x:c>
      <x:c r="C53" s="14">
        <x:v>26516</x:v>
      </x:c>
      <x:c r="D53" s="14">
        <x:v>353</x:v>
      </x:c>
      <x:c r="E53" s="14">
        <x:v>114</x:v>
      </x:c>
      <x:c r="F53" s="14">
        <x:v>71</x:v>
      </x:c>
      <x:c r="G53" s="14">
        <x:v>11</x:v>
      </x:c>
      <x:c r="H53" s="14">
        <x:v>754</x:v>
      </x:c>
      <x:c r="I53" s="14">
        <x:v>65</x:v>
      </x:c>
      <x:c r="J53" s="14">
        <x:v>32</x:v>
      </x:c>
      <x:c r="K53" s="1"/>
      <x:c r="L53" s="1"/>
    </x:row>
    <x:row r="54" ht="22" customHeight="1">
      <x:c r="A54" s="24" t="n">
        <x:v>2019</x:v>
      </x:c>
      <x:c r="B54" s="15" t="inlineStr">
        <x:is>
          <x:t xml:space="preserve">FDP</x:t>
        </x:is>
      </x:c>
      <x:c r="C54" s="16">
        <x:v>29452</x:v>
      </x:c>
      <x:c r="D54" s="16">
        <x:v>298</x:v>
      </x:c>
      <x:c r="E54" s="16">
        <x:v>89</x:v>
      </x:c>
      <x:c r="F54" s="16">
        <x:v>56</x:v>
      </x:c>
      <x:c r="G54" s="16">
        <x:v>5</x:v>
      </x:c>
      <x:c r="H54" s="16">
        <x:v>909</x:v>
      </x:c>
      <x:c r="I54" s="16">
        <x:v>73</x:v>
      </x:c>
      <x:c r="J54" s="16">
        <x:v>38</x:v>
      </x:c>
      <x:c r="K54" s="1"/>
      <x:c r="L54" s="1"/>
    </x:row>
    <x:row r="55" ht="22" customHeight="1">
      <x:c r="A55" s="21" t="n">
        <x:v>2020</x:v>
      </x:c>
      <x:c r="B55" s="13" t="inlineStr">
        <x:is>
          <x:t xml:space="preserve">FDP</x:t>
        </x:is>
      </x:c>
      <x:c r="C55" s="14">
        <x:v>27393</x:v>
      </x:c>
      <x:c r="D55" s="14">
        <x:v>305</x:v>
      </x:c>
      <x:c r="E55" s="14">
        <x:v>78</x:v>
      </x:c>
      <x:c r="F55" s="14">
        <x:v>58</x:v>
      </x:c>
      <x:c r="G55" s="14">
        <x:v>11</x:v>
      </x:c>
      <x:c r="H55" s="14">
        <x:v>898</x:v>
      </x:c>
      <x:c r="I55" s="14">
        <x:v>70</x:v>
      </x:c>
      <x:c r="J55" s="14">
        <x:v>33</x:v>
      </x:c>
      <x:c r="K55" s="1"/>
      <x:c r="L55" s="1"/>
    </x:row>
    <x:row r="56" ht="22" customHeight="1">
      <x:c r="A56" s="24" t="n">
        <x:v>2021</x:v>
      </x:c>
      <x:c r="B56" s="15" t="inlineStr">
        <x:is>
          <x:t xml:space="preserve">FDP</x:t>
        </x:is>
      </x:c>
      <x:c r="C56" s="16">
        <x:v>19956</x:v>
      </x:c>
      <x:c r="D56" s="16">
        <x:v>183</x:v>
      </x:c>
      <x:c r="E56" s="16">
        <x:v>53</x:v>
      </x:c>
      <x:c r="F56" s="16">
        <x:v>47</x:v>
      </x:c>
      <x:c r="G56" s="16">
        <x:v>6</x:v>
      </x:c>
      <x:c r="H56" s="16">
        <x:v>699</x:v>
      </x:c>
      <x:c r="I56" s="16">
        <x:v>48</x:v>
      </x:c>
      <x:c r="J56" s="16">
        <x:v>23</x:v>
      </x:c>
      <x:c r="K56" s="1"/>
      <x:c r="L56" s="1"/>
    </x:row>
    <x:row r="57" ht="22" customHeight="1">
      <x:c r="A57" s="21" t="n">
        <x:v>2022</x:v>
      </x:c>
      <x:c r="B57" s="13" t="inlineStr">
        <x:is>
          <x:t xml:space="preserve">FDP</x:t>
        </x:is>
      </x:c>
      <x:c r="C57" s="14">
        <x:v>35632</x:v>
      </x:c>
      <x:c r="D57" s="14">
        <x:v>378</x:v>
      </x:c>
      <x:c r="E57" s="14">
        <x:v>87</x:v>
      </x:c>
      <x:c r="F57" s="14">
        <x:v>117</x:v>
      </x:c>
      <x:c r="G57" s="14">
        <x:v>39</x:v>
      </x:c>
      <x:c r="H57" s="14">
        <x:v>1131</x:v>
      </x:c>
      <x:c r="I57" s="14">
        <x:v>83</x:v>
      </x:c>
      <x:c r="J57" s="14">
        <x:v>37</x:v>
      </x:c>
      <x:c r="K57" s="1"/>
      <x:c r="L57" s="1"/>
    </x:row>
    <x:row r="58" ht="22" customHeight="1">
      <x:c r="A58" s="24" t="n">
        <x:v>2023</x:v>
      </x:c>
      <x:c r="B58" s="15" t="inlineStr">
        <x:is>
          <x:t xml:space="preserve">FDP</x:t>
        </x:is>
      </x:c>
      <x:c r="C58" s="16">
        <x:v>36742</x:v>
      </x:c>
      <x:c r="D58" s="16">
        <x:v>314</x:v>
      </x:c>
      <x:c r="E58" s="16">
        <x:v>99</x:v>
      </x:c>
      <x:c r="F58" s="16">
        <x:v>71</x:v>
      </x:c>
      <x:c r="G58" s="16">
        <x:v>13</x:v>
      </x:c>
      <x:c r="H58" s="16">
        <x:v>1267</x:v>
      </x:c>
      <x:c r="I58" s="16">
        <x:v>96</x:v>
      </x:c>
      <x:c r="J58" s="16">
        <x:v>41</x:v>
      </x:c>
      <x:c r="K58" s="1"/>
      <x:c r="L58" s="1"/>
    </x:row>
    <x:row r="59" ht="22" customHeight="1">
      <x:c r="A59" s="21" t="n">
        <x:v>2024</x:v>
      </x:c>
      <x:c r="B59" s="13" t="inlineStr">
        <x:is>
          <x:t xml:space="preserve">FDP</x:t>
        </x:is>
      </x:c>
      <x:c r="C59" s="14">
        <x:v>32590</x:v>
      </x:c>
      <x:c r="D59" s="14">
        <x:v>438</x:v>
      </x:c>
      <x:c r="E59" s="14">
        <x:v>66</x:v>
      </x:c>
      <x:c r="F59" s="14">
        <x:v>131</x:v>
      </x:c>
      <x:c r="G59" s="14">
        <x:v>8</x:v>
      </x:c>
      <x:c r="H59" s="14">
        <x:v>1154</x:v>
      </x:c>
      <x:c r="I59" s="14">
        <x:v>70</x:v>
      </x:c>
      <x:c r="J59" s="14">
        <x:v>35</x:v>
      </x:c>
      <x:c r="K59" s="1"/>
      <x:c r="L59" s="1"/>
    </x:row>
    <x:row r="60" ht="22" customHeight="1">
      <x:c r="A60" s="24" t="n">
        <x:v>2025</x:v>
      </x:c>
      <x:c r="B60" s="15" t="inlineStr">
        <x:is>
          <x:t xml:space="preserve">FDP</x:t>
        </x:is>
      </x:c>
      <x:c r="C60" s="16">
        <x:v>2524</x:v>
      </x:c>
      <x:c r="D60" s="16">
        <x:v>3</x:v>
      </x:c>
      <x:c r="E60" s="16">
        <x:v>0</x:v>
      </x:c>
      <x:c r="F60" s="16">
        <x:v>3</x:v>
      </x:c>
      <x:c r="G60" s="16">
        <x:v>0</x:v>
      </x:c>
      <x:c r="H60" s="16">
        <x:v>69</x:v>
      </x:c>
      <x:c r="I60" s="16">
        <x:v>3</x:v>
      </x:c>
      <x:c r="J60" s="16">
        <x:v>3</x:v>
      </x:c>
      <x:c r="K60" s="1"/>
      <x:c r="L60" s="1"/>
    </x:row>
    <x:row r="61" ht="22" customHeight="1">
      <x:c r="A61" s="21" t="n">
        <x:v>2018</x:v>
      </x:c>
      <x:c r="B61" s="13" t="inlineStr">
        <x:is>
          <x:t xml:space="preserve">Die Linke</x:t>
        </x:is>
      </x:c>
      <x:c r="C61" s="14">
        <x:v>24727</x:v>
      </x:c>
      <x:c r="D61" s="14">
        <x:v>354</x:v>
      </x:c>
      <x:c r="E61" s="14">
        <x:v>101</x:v>
      </x:c>
      <x:c r="F61" s="14">
        <x:v>82</x:v>
      </x:c>
      <x:c r="G61" s="14">
        <x:v>4</x:v>
      </x:c>
      <x:c r="H61" s="14">
        <x:v>661</x:v>
      </x:c>
      <x:c r="I61" s="14">
        <x:v>71</x:v>
      </x:c>
      <x:c r="J61" s="14">
        <x:v>36</x:v>
      </x:c>
      <x:c r="K61" s="1"/>
      <x:c r="L61" s="1"/>
    </x:row>
    <x:row r="62" ht="22" customHeight="1">
      <x:c r="A62" s="24" t="n">
        <x:v>2019</x:v>
      </x:c>
      <x:c r="B62" s="15" t="inlineStr">
        <x:is>
          <x:t xml:space="preserve">Die Linke</x:t>
        </x:is>
      </x:c>
      <x:c r="C62" s="16">
        <x:v>26396</x:v>
      </x:c>
      <x:c r="D62" s="16">
        <x:v>319</x:v>
      </x:c>
      <x:c r="E62" s="16">
        <x:v>94</x:v>
      </x:c>
      <x:c r="F62" s="16">
        <x:v>79</x:v>
      </x:c>
      <x:c r="G62" s="16">
        <x:v>5</x:v>
      </x:c>
      <x:c r="H62" s="16">
        <x:v>785</x:v>
      </x:c>
      <x:c r="I62" s="16">
        <x:v>74</x:v>
      </x:c>
      <x:c r="J62" s="16">
        <x:v>38</x:v>
      </x:c>
      <x:c r="K62" s="1"/>
      <x:c r="L62" s="1"/>
    </x:row>
    <x:row r="63" ht="22" customHeight="1">
      <x:c r="A63" s="21" t="n">
        <x:v>2020</x:v>
      </x:c>
      <x:c r="B63" s="13" t="inlineStr">
        <x:is>
          <x:t xml:space="preserve">Die Linke</x:t>
        </x:is>
      </x:c>
      <x:c r="C63" s="14">
        <x:v>24616</x:v>
      </x:c>
      <x:c r="D63" s="14">
        <x:v>316</x:v>
      </x:c>
      <x:c r="E63" s="14">
        <x:v>80</x:v>
      </x:c>
      <x:c r="F63" s="14">
        <x:v>78</x:v>
      </x:c>
      <x:c r="G63" s="14">
        <x:v>8</x:v>
      </x:c>
      <x:c r="H63" s="14">
        <x:v>799</x:v>
      </x:c>
      <x:c r="I63" s="14">
        <x:v>89</x:v>
      </x:c>
      <x:c r="J63" s="14">
        <x:v>47</x:v>
      </x:c>
      <x:c r="K63" s="1"/>
      <x:c r="L63" s="1"/>
    </x:row>
    <x:row r="64" ht="22" customHeight="1">
      <x:c r="A64" s="24" t="n">
        <x:v>2021</x:v>
      </x:c>
      <x:c r="B64" s="15" t="inlineStr">
        <x:is>
          <x:t xml:space="preserve">Die Linke</x:t>
        </x:is>
      </x:c>
      <x:c r="C64" s="16">
        <x:v>17547</x:v>
      </x:c>
      <x:c r="D64" s="16">
        <x:v>198</x:v>
      </x:c>
      <x:c r="E64" s="16">
        <x:v>69</x:v>
      </x:c>
      <x:c r="F64" s="16">
        <x:v>61</x:v>
      </x:c>
      <x:c r="G64" s="16">
        <x:v>5</x:v>
      </x:c>
      <x:c r="H64" s="16">
        <x:v>595</x:v>
      </x:c>
      <x:c r="I64" s="16">
        <x:v>54</x:v>
      </x:c>
      <x:c r="J64" s="16">
        <x:v>25</x:v>
      </x:c>
      <x:c r="K64" s="1"/>
      <x:c r="L64" s="1"/>
    </x:row>
    <x:row r="65" ht="22" customHeight="1">
      <x:c r="A65" s="21" t="n">
        <x:v>2022</x:v>
      </x:c>
      <x:c r="B65" s="13" t="inlineStr">
        <x:is>
          <x:t xml:space="preserve">Die Linke</x:t>
        </x:is>
      </x:c>
      <x:c r="C65" s="14">
        <x:v>20112</x:v>
      </x:c>
      <x:c r="D65" s="14">
        <x:v>375</x:v>
      </x:c>
      <x:c r="E65" s="14">
        <x:v>71</x:v>
      </x:c>
      <x:c r="F65" s="14">
        <x:v>163</x:v>
      </x:c>
      <x:c r="G65" s="14">
        <x:v>31</x:v>
      </x:c>
      <x:c r="H65" s="14">
        <x:v>701</x:v>
      </x:c>
      <x:c r="I65" s="14">
        <x:v>107</x:v>
      </x:c>
      <x:c r="J65" s="14">
        <x:v>51</x:v>
      </x:c>
      <x:c r="K65" s="1"/>
      <x:c r="L65" s="1"/>
    </x:row>
    <x:row r="66" ht="22" customHeight="1">
      <x:c r="A66" s="24" t="n">
        <x:v>2023</x:v>
      </x:c>
      <x:c r="B66" s="15" t="inlineStr">
        <x:is>
          <x:t xml:space="preserve">Die Linke</x:t>
        </x:is>
      </x:c>
      <x:c r="C66" s="16">
        <x:v>19703</x:v>
      </x:c>
      <x:c r="D66" s="16">
        <x:v>308</x:v>
      </x:c>
      <x:c r="E66" s="16">
        <x:v>72</x:v>
      </x:c>
      <x:c r="F66" s="16">
        <x:v>106</x:v>
      </x:c>
      <x:c r="G66" s="16">
        <x:v>19</x:v>
      </x:c>
      <x:c r="H66" s="16">
        <x:v>738</x:v>
      </x:c>
      <x:c r="I66" s="16">
        <x:v>83</x:v>
      </x:c>
      <x:c r="J66" s="16">
        <x:v>45</x:v>
      </x:c>
      <x:c r="K66" s="1"/>
      <x:c r="L66" s="1"/>
    </x:row>
    <x:row r="67" ht="22" customHeight="1">
      <x:c r="A67" s="21" t="n">
        <x:v>2024</x:v>
      </x:c>
      <x:c r="B67" s="13" t="inlineStr">
        <x:is>
          <x:t xml:space="preserve">Die Linke</x:t>
        </x:is>
      </x:c>
      <x:c r="C67" s="14">
        <x:v>8929</x:v>
      </x:c>
      <x:c r="D67" s="14">
        <x:v>132</x:v>
      </x:c>
      <x:c r="E67" s="14">
        <x:v>29</x:v>
      </x:c>
      <x:c r="F67" s="14">
        <x:v>58</x:v>
      </x:c>
      <x:c r="G67" s="14">
        <x:v>0</x:v>
      </x:c>
      <x:c r="H67" s="14">
        <x:v>371</x:v>
      </x:c>
      <x:c r="I67" s="14">
        <x:v>40</x:v>
      </x:c>
      <x:c r="J67" s="14">
        <x:v>24</x:v>
      </x:c>
      <x:c r="K67" s="1"/>
      <x:c r="L67" s="1"/>
    </x:row>
    <x:row r="68" ht="22" customHeight="1">
      <x:c r="A68" s="24" t="n">
        <x:v>2025</x:v>
      </x:c>
      <x:c r="B68" s="15" t="inlineStr">
        <x:is>
          <x:t xml:space="preserve">Die Linke</x:t>
        </x:is>
      </x:c>
      <x:c r="C68" s="16">
        <x:v>20697</x:v>
      </x:c>
      <x:c r="D68" s="16">
        <x:v>246</x:v>
      </x:c>
      <x:c r="E68" s="16">
        <x:v>57</x:v>
      </x:c>
      <x:c r="F68" s="16">
        <x:v>98</x:v>
      </x:c>
      <x:c r="G68" s="16">
        <x:v>10</x:v>
      </x:c>
      <x:c r="H68" s="16">
        <x:v>670</x:v>
      </x:c>
      <x:c r="I68" s="16">
        <x:v>65</x:v>
      </x:c>
      <x:c r="J68" s="16">
        <x:v>38</x:v>
      </x:c>
      <x:c r="K68" s="1"/>
      <x:c r="L68" s="1"/>
    </x:row>
    <x:row r="69" ht="22" customHeight="1">
      <x:c r="A69" s="21" t="n">
        <x:v>2024</x:v>
      </x:c>
      <x:c r="B69" s="13" t="inlineStr">
        <x:is>
          <x:t xml:space="preserve">BSW</x:t>
        </x:is>
      </x:c>
      <x:c r="C69" s="14">
        <x:v>2990</x:v>
      </x:c>
      <x:c r="D69" s="14">
        <x:v>32</x:v>
      </x:c>
      <x:c r="E69" s="14">
        <x:v>3</x:v>
      </x:c>
      <x:c r="F69" s="14">
        <x:v>14</x:v>
      </x:c>
      <x:c r="G69" s="14">
        <x:v>0</x:v>
      </x:c>
      <x:c r="H69" s="14">
        <x:v>140</x:v>
      </x:c>
      <x:c r="I69" s="14">
        <x:v>12</x:v>
      </x:c>
      <x:c r="J69" s="14">
        <x:v>12</x:v>
      </x:c>
      <x:c r="K69" s="1"/>
      <x:c r="L69" s="1"/>
    </x:row>
    <x:row r="70" ht="22" customHeight="1">
      <x:c r="A70" s="24" t="n">
        <x:v>2025</x:v>
      </x:c>
      <x:c r="B70" s="15" t="inlineStr">
        <x:is>
          <x:t xml:space="preserve">BSW</x:t>
        </x:is>
      </x:c>
      <x:c r="C70" s="16">
        <x:v>280</x:v>
      </x:c>
      <x:c r="D70" s="16">
        <x:v>2</x:v>
      </x:c>
      <x:c r="E70" s="16">
        <x:v>0</x:v>
      </x:c>
      <x:c r="F70" s="16">
        <x:v>2</x:v>
      </x:c>
      <x:c r="G70" s="16">
        <x:v>0</x:v>
      </x:c>
      <x:c r="H70" s="16">
        <x:v>13</x:v>
      </x:c>
      <x:c r="I70" s="16">
        <x:v>2</x:v>
      </x:c>
      <x:c r="J70" s="16">
        <x:v>2</x:v>
      </x:c>
      <x:c r="K70" s="1"/>
      <x:c r="L70" s="1"/>
    </x:row>
    <x:row r="71" ht="22" customHeight="1">
      <x:c r="A71" s="21" t="n">
        <x:v>2018</x:v>
      </x:c>
      <x:c r="B71" s="13" t="inlineStr">
        <x:is>
          <x:t xml:space="preserve">fraktionslos</x:t>
        </x:is>
      </x:c>
      <x:c r="C71" s="14">
        <x:v>1820</x:v>
      </x:c>
      <x:c r="D71" s="14">
        <x:v>20</x:v>
      </x:c>
      <x:c r="E71" s="14">
        <x:v>8</x:v>
      </x:c>
      <x:c r="F71" s="14">
        <x:v>5</x:v>
      </x:c>
      <x:c r="G71" s="14">
        <x:v>0</x:v>
      </x:c>
      <x:c r="H71" s="14">
        <x:v>75</x:v>
      </x:c>
      <x:c r="I71" s="14">
        <x:v>8</x:v>
      </x:c>
      <x:c r="J71" s="14">
        <x:v>6</x:v>
      </x:c>
      <x:c r="K71" s="1"/>
      <x:c r="L71" s="1"/>
    </x:row>
    <x:row r="72" ht="22" customHeight="1">
      <x:c r="A72" s="24" t="n">
        <x:v>2019</x:v>
      </x:c>
      <x:c r="B72" s="15" t="inlineStr">
        <x:is>
          <x:t xml:space="preserve">fraktionslos</x:t>
        </x:is>
      </x:c>
      <x:c r="C72" s="16">
        <x:v>1578</x:v>
      </x:c>
      <x:c r="D72" s="16">
        <x:v>9</x:v>
      </x:c>
      <x:c r="E72" s="16">
        <x:v>3</x:v>
      </x:c>
      <x:c r="F72" s="16">
        <x:v>1</x:v>
      </x:c>
      <x:c r="G72" s="16">
        <x:v>0</x:v>
      </x:c>
      <x:c r="H72" s="16">
        <x:v>62</x:v>
      </x:c>
      <x:c r="I72" s="16">
        <x:v>3</x:v>
      </x:c>
      <x:c r="J72" s="16">
        <x:v>3</x:v>
      </x:c>
      <x:c r="K72" s="1"/>
      <x:c r="L72" s="1"/>
    </x:row>
    <x:row r="73" ht="22" customHeight="1">
      <x:c r="A73" s="21" t="n">
        <x:v>2020</x:v>
      </x:c>
      <x:c r="B73" s="13" t="inlineStr">
        <x:is>
          <x:t xml:space="preserve">fraktionslos</x:t>
        </x:is>
      </x:c>
      <x:c r="C73" s="14">
        <x:v>854</x:v>
      </x:c>
      <x:c r="D73" s="14">
        <x:v>0</x:v>
      </x:c>
      <x:c r="E73" s="14">
        <x:v>0</x:v>
      </x:c>
      <x:c r="F73" s="14">
        <x:v>0</x:v>
      </x:c>
      <x:c r="G73" s="14">
        <x:v>0</x:v>
      </x:c>
      <x:c r="H73" s="14">
        <x:v>31</x:v>
      </x:c>
      <x:c r="I73" s="14">
        <x:v>0</x:v>
      </x:c>
      <x:c r="J73" s="14">
        <x:v>0</x:v>
      </x:c>
      <x:c r="K73" s="1"/>
      <x:c r="L73" s="1"/>
    </x:row>
    <x:row r="74" ht="22" customHeight="1">
      <x:c r="A74" s="24" t="n">
        <x:v>2021</x:v>
      </x:c>
      <x:c r="B74" s="15" t="inlineStr">
        <x:is>
          <x:t xml:space="preserve">fraktionslos</x:t>
        </x:is>
      </x:c>
      <x:c r="C74" s="16">
        <x:v>985</x:v>
      </x:c>
      <x:c r="D74" s="16">
        <x:v>3</x:v>
      </x:c>
      <x:c r="E74" s="16">
        <x:v>3</x:v>
      </x:c>
      <x:c r="F74" s="16">
        <x:v>0</x:v>
      </x:c>
      <x:c r="G74" s="16">
        <x:v>0</x:v>
      </x:c>
      <x:c r="H74" s="16">
        <x:v>38</x:v>
      </x:c>
      <x:c r="I74" s="16">
        <x:v>2</x:v>
      </x:c>
      <x:c r="J74" s="16">
        <x:v>2</x:v>
      </x:c>
      <x:c r="K74" s="1"/>
      <x:c r="L74" s="1"/>
    </x:row>
    <x:row r="75" ht="22" customHeight="1">
      <x:c r="A75" s="21" t="n">
        <x:v>2022</x:v>
      </x:c>
      <x:c r="B75" s="13" t="inlineStr">
        <x:is>
          <x:t xml:space="preserve">fraktionslos</x:t>
        </x:is>
      </x:c>
      <x:c r="C75" s="14">
        <x:v>1504</x:v>
      </x:c>
      <x:c r="D75" s="14">
        <x:v>11</x:v>
      </x:c>
      <x:c r="E75" s="14">
        <x:v>2</x:v>
      </x:c>
      <x:c r="F75" s="14">
        <x:v>1</x:v>
      </x:c>
      <x:c r="G75" s="14">
        <x:v>0</x:v>
      </x:c>
      <x:c r="H75" s="14">
        <x:v>82</x:v>
      </x:c>
      <x:c r="I75" s="14">
        <x:v>5</x:v>
      </x:c>
      <x:c r="J75" s="14">
        <x:v>5</x:v>
      </x:c>
      <x:c r="K75" s="1"/>
      <x:c r="L75" s="1"/>
    </x:row>
    <x:row r="76" ht="22" customHeight="1">
      <x:c r="A76" s="24" t="n">
        <x:v>2023</x:v>
      </x:c>
      <x:c r="B76" s="15" t="inlineStr">
        <x:is>
          <x:t xml:space="preserve">fraktionslos</x:t>
        </x:is>
      </x:c>
      <x:c r="C76" s="16">
        <x:v>2967</x:v>
      </x:c>
      <x:c r="D76" s="16">
        <x:v>18</x:v>
      </x:c>
      <x:c r="E76" s="16">
        <x:v>2</x:v>
      </x:c>
      <x:c r="F76" s="16">
        <x:v>5</x:v>
      </x:c>
      <x:c r="G76" s="16">
        <x:v>2</x:v>
      </x:c>
      <x:c r="H76" s="16">
        <x:v>174</x:v>
      </x:c>
      <x:c r="I76" s="16">
        <x:v>10</x:v>
      </x:c>
      <x:c r="J76" s="16">
        <x:v>9</x:v>
      </x:c>
      <x:c r="K76" s="1"/>
      <x:c r="L76" s="1"/>
    </x:row>
    <x:row r="77" ht="22" customHeight="1">
      <x:c r="A77" s="21" t="n">
        <x:v>2024</x:v>
      </x:c>
      <x:c r="B77" s="13" t="inlineStr">
        <x:is>
          <x:t xml:space="preserve">fraktionslos</x:t>
        </x:is>
      </x:c>
      <x:c r="C77" s="14">
        <x:v>3733</x:v>
      </x:c>
      <x:c r="D77" s="14">
        <x:v>88</x:v>
      </x:c>
      <x:c r="E77" s="14">
        <x:v>16</x:v>
      </x:c>
      <x:c r="F77" s="14">
        <x:v>32</x:v>
      </x:c>
      <x:c r="G77" s="14">
        <x:v>3</x:v>
      </x:c>
      <x:c r="H77" s="14">
        <x:v>209</x:v>
      </x:c>
      <x:c r="I77" s="14">
        <x:v>26</x:v>
      </x:c>
      <x:c r="J77" s="14">
        <x:v>12</x:v>
      </x:c>
      <x:c r="K77" s="1"/>
      <x:c r="L77" s="1"/>
    </x:row>
    <x:row r="78" ht="22" customHeight="1">
      <x:c r="A78" s="24" t="n">
        <x:v>2025</x:v>
      </x:c>
      <x:c r="B78" s="15" t="inlineStr">
        <x:is>
          <x:t xml:space="preserve">fraktionslos</x:t>
        </x:is>
      </x:c>
      <x:c r="C78" s="16">
        <x:v>1259</x:v>
      </x:c>
      <x:c r="D78" s="16">
        <x:v>2</x:v>
      </x:c>
      <x:c r="E78" s="16">
        <x:v>0</x:v>
      </x:c>
      <x:c r="F78" s="16">
        <x:v>0</x:v>
      </x:c>
      <x:c r="G78" s="16">
        <x:v>0</x:v>
      </x:c>
      <x:c r="H78" s="16">
        <x:v>69</x:v>
      </x:c>
      <x:c r="I78" s="16">
        <x:v>2</x:v>
      </x:c>
      <x:c r="J78" s="16">
        <x:v>2</x:v>
      </x:c>
      <x:c r="K78" s="1"/>
      <x:c r="L78" s="1"/>
    </x:row>
    <x:row r="79" ht="22" customHeight="1">
      <x:c r="A79" s="21" t="n">
        <x:v>2018</x:v>
      </x:c>
      <x:c r="B79" s="13" t="inlineStr">
        <x:is>
          <x:t xml:space="preserve">Ohne Zuordnung</x:t>
        </x:is>
      </x:c>
      <x:c r="C79" s="14">
        <x:v>87</x:v>
      </x:c>
      <x:c r="D79" s="14">
        <x:v>0</x:v>
      </x:c>
      <x:c r="E79" s="14">
        <x:v>0</x:v>
      </x:c>
      <x:c r="F79" s="14">
        <x:v>0</x:v>
      </x:c>
      <x:c r="G79" s="14">
        <x:v>0</x:v>
      </x:c>
      <x:c r="H79" s="14">
        <x:v>1</x:v>
      </x:c>
      <x:c r="I79" s="14">
        <x:v>0</x:v>
      </x:c>
      <x:c r="J79" s="14">
        <x:v>0</x:v>
      </x:c>
      <x:c r="K79" s="1"/>
      <x:c r="L79" s="1"/>
    </x:row>
    <x:row r="80" ht="22" customHeight="1">
      <x:c r="A80" s="24" t="n">
        <x:v>2019</x:v>
      </x:c>
      <x:c r="B80" s="15" t="inlineStr">
        <x:is>
          <x:t xml:space="preserve">Ohne Zuordnung</x:t>
        </x:is>
      </x:c>
      <x:c r="C80" s="16">
        <x:v>35</x:v>
      </x:c>
      <x:c r="D80" s="16">
        <x:v>0</x:v>
      </x:c>
      <x:c r="E80" s="16">
        <x:v>0</x:v>
      </x:c>
      <x:c r="F80" s="16">
        <x:v>0</x:v>
      </x:c>
      <x:c r="G80" s="16">
        <x:v>0</x:v>
      </x:c>
      <x:c r="H80" s="16">
        <x:v>1</x:v>
      </x:c>
      <x:c r="I80" s="16">
        <x:v>0</x:v>
      </x:c>
      <x:c r="J80" s="16">
        <x:v>0</x:v>
      </x:c>
      <x:c r="K80" s="1"/>
      <x:c r="L80" s="1"/>
    </x:row>
    <x:row r="81" ht="22" customHeight="1">
      <x:c r="A81" s="21" t="n">
        <x:v>2020</x:v>
      </x:c>
      <x:c r="B81" s="13" t="inlineStr">
        <x:is>
          <x:t xml:space="preserve">Ohne Zuordnung</x:t>
        </x:is>
      </x:c>
      <x:c r="C81" s="14">
        <x:v>29</x:v>
      </x:c>
      <x:c r="D81" s="14">
        <x:v>0</x:v>
      </x:c>
      <x:c r="E81" s="14">
        <x:v>0</x:v>
      </x:c>
      <x:c r="F81" s="14">
        <x:v>0</x:v>
      </x:c>
      <x:c r="G81" s="14">
        <x:v>0</x:v>
      </x:c>
      <x:c r="H81" s="14">
        <x:v>1</x:v>
      </x:c>
      <x:c r="I81" s="14">
        <x:v>0</x:v>
      </x:c>
      <x:c r="J81" s="14">
        <x:v>0</x:v>
      </x:c>
      <x:c r="K81" s="1"/>
      <x:c r="L81" s="1"/>
    </x:row>
    <x:row r="82" ht="22" customHeight="1">
      <x:c r="A82" s="24" t="n">
        <x:v>2021</x:v>
      </x:c>
      <x:c r="B82" s="15" t="inlineStr">
        <x:is>
          <x:t xml:space="preserve">Ohne Zuordnung</x:t>
        </x:is>
      </x:c>
      <x:c r="C82" s="16">
        <x:v>45</x:v>
      </x:c>
      <x:c r="D82" s="16">
        <x:v>0</x:v>
      </x:c>
      <x:c r="E82" s="16">
        <x:v>0</x:v>
      </x:c>
      <x:c r="F82" s="16">
        <x:v>0</x:v>
      </x:c>
      <x:c r="G82" s="16">
        <x:v>0</x:v>
      </x:c>
      <x:c r="H82" s="16">
        <x:v>1</x:v>
      </x:c>
      <x:c r="I82" s="16">
        <x:v>0</x:v>
      </x:c>
      <x:c r="J82" s="16">
        <x:v>0</x:v>
      </x:c>
      <x:c r="K82" s="1"/>
      <x:c r="L82" s="1"/>
    </x:row>
    <x:row r="83" ht="22" customHeight="1">
      <x:c r="A83" s="21" t="n">
        <x:v>2025</x:v>
      </x:c>
      <x:c r="B83" s="13" t="inlineStr">
        <x:is>
          <x:t xml:space="preserve">Ohne Zuordnung</x:t>
        </x:is>
      </x:c>
      <x:c r="C83" s="14">
        <x:v>282</x:v>
      </x:c>
      <x:c r="D83" s="14">
        <x:v>0</x:v>
      </x:c>
      <x:c r="E83" s="14">
        <x:v>0</x:v>
      </x:c>
      <x:c r="F83" s="14">
        <x:v>0</x:v>
      </x:c>
      <x:c r="G83" s="14">
        <x:v>0</x:v>
      </x:c>
      <x:c r="H83" s="14">
        <x:v>8</x:v>
      </x:c>
      <x:c r="I83" s="14">
        <x:v>0</x:v>
      </x:c>
      <x:c r="J83" s="14">
        <x:v>0</x:v>
      </x:c>
      <x:c r="K83" s="1"/>
      <x:c r="L83" s="1"/>
    </x:row>
    <x:row r="84" ht="22" customHeight="1">
      <x:c r="A84" s="24" t="n">
        <x:v>2023</x:v>
      </x:c>
      <x:c r="B84" s="15" t="inlineStr">
        <x:is>
          <x:t xml:space="preserve">ungeklärt</x:t>
        </x:is>
      </x:c>
      <x:c r="C84" s="16">
        <x:v>38</x:v>
      </x:c>
      <x:c r="D84" s="16">
        <x:v>0</x:v>
      </x:c>
      <x:c r="E84" s="16">
        <x:v>0</x:v>
      </x:c>
      <x:c r="F84" s="16">
        <x:v>0</x:v>
      </x:c>
      <x:c r="G84" s="16">
        <x:v>0</x:v>
      </x:c>
      <x:c r="H84" s="16">
        <x:v>1</x:v>
      </x:c>
      <x:c r="I84" s="16">
        <x:v>0</x:v>
      </x:c>
      <x:c r="J84" s="16">
        <x:v>0</x:v>
      </x:c>
      <x:c r="K84" s="1"/>
      <x:c r="L84" s="1"/>
    </x:row>
    <x:row r="85" ht="22" customHeight="1">
      <x:c r="A85" s="39" t="n">
        <x:v>2024</x:v>
      </x:c>
      <x:c r="B85" s="17" t="inlineStr">
        <x:is>
          <x:t xml:space="preserve">ungeklärt</x:t>
        </x:is>
      </x:c>
      <x:c r="C85" s="18">
        <x:v>35</x:v>
      </x:c>
      <x:c r="D85" s="18">
        <x:v>0</x:v>
      </x:c>
      <x:c r="E85" s="18">
        <x:v>0</x:v>
      </x:c>
      <x:c r="F85" s="18">
        <x:v>0</x:v>
      </x:c>
      <x:c r="G85" s="18">
        <x:v>0</x:v>
      </x:c>
      <x:c r="H85" s="18">
        <x:v>1</x:v>
      </x:c>
      <x:c r="I85" s="18">
        <x:v>0</x:v>
      </x:c>
      <x:c r="J85" s="18">
        <x:v>0</x:v>
      </x:c>
      <x:c r="K85" s="1"/>
      <x:c r="L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 ht="26" customHeight="1">
      <x:c r="A88" s="10" t="inlineStr">
        <x:is>
          <x:t xml:space="preserve">Alle Sitzungstage, einschließlich Tagen ohne A&amp;E-Satz</x:t>
        </x:is>
      </x:c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 ht="54" customHeight="1">
      <x:c r="A89" s="11" t="inlineStr">
        <x:is>
          <x:t xml:space="preserve">Datum</x:t>
        </x:is>
      </x:c>
      <x:c r="B89" s="20" t="inlineStr">
        <x:is>
          <x:t xml:space="preserve">Jahr</x:t>
        </x:is>
      </x:c>
      <x:c r="C89" s="20" t="inlineStr">
        <x:is>
          <x:t xml:space="preserve">Plenarsätze</x:t>
        </x:is>
      </x:c>
      <x:c r="D89" s="20" t="inlineStr">
        <x:is>
          <x:t xml:space="preserve">A&amp;E-Sätze</x:t>
        </x:is>
      </x:c>
      <x:c r="E89" s="20" t="inlineStr">
        <x:is>
          <x:t xml:space="preserve">Ökologie n</x:t>
        </x:is>
      </x:c>
      <x:c r="F89" s="20" t="inlineStr">
        <x:is>
          <x:t xml:space="preserve">Ökonomie n</x:t>
        </x:is>
      </x:c>
      <x:c r="G89" s="20" t="inlineStr">
        <x:is>
          <x:t xml:space="preserve">S&amp;R n</x:t>
        </x:is>
      </x:c>
      <x:c r="H89" s="20" t="inlineStr">
        <x:is>
          <x:t xml:space="preserve">Beiträge gesamt</x:t>
        </x:is>
      </x:c>
      <x:c r="I89" s="20" t="inlineStr">
        <x:is>
          <x:t xml:space="preserve">A&amp;E-Beiträge</x:t>
        </x:is>
      </x:c>
      <x:c r="J89" s="12" t="inlineStr">
        <x:is>
          <x:t xml:space="preserve">Protokoll</x:t>
        </x:is>
      </x:c>
      <x:c r="K89" s="1"/>
      <x:c r="L89" s="1"/>
    </x:row>
    <x:row r="90" ht="22" customHeight="1">
      <x:c r="A90" s="92" t="n">
        <x:v>43117</x:v>
      </x:c>
      <x:c r="B90" s="21" t="n">
        <x:v>2018</x:v>
      </x:c>
      <x:c r="C90" s="14">
        <x:v>336</x:v>
      </x:c>
      <x:c r="D90" s="14">
        <x:v>6</x:v>
      </x:c>
      <x:c r="E90" s="14">
        <x:v>0</x:v>
      </x:c>
      <x:c r="F90" s="14">
        <x:v>1</x:v>
      </x:c>
      <x:c r="G90" s="14">
        <x:v>0</x:v>
      </x:c>
      <x:c r="H90" s="14">
        <x:v>43</x:v>
      </x:c>
      <x:c r="I90" s="14">
        <x:v>2</x:v>
      </x:c>
      <x:c r="J90" s="13" t="inlineStr">
        <x:is>
          <x:t xml:space="preserve">19/6</x:t>
        </x:is>
      </x:c>
      <x:c r="K90" s="1"/>
      <x:c r="L90" s="1"/>
    </x:row>
    <x:row r="91" ht="22" customHeight="1">
      <x:c r="A91" s="93" t="n">
        <x:v>43118</x:v>
      </x:c>
      <x:c r="B91" s="24" t="n">
        <x:v>2018</x:v>
      </x:c>
      <x:c r="C91" s="16">
        <x:v>4188</x:v>
      </x:c>
      <x:c r="D91" s="16">
        <x:v>377</x:v>
      </x:c>
      <x:c r="E91" s="16">
        <x:v>86</x:v>
      </x:c>
      <x:c r="F91" s="16">
        <x:v>49</x:v>
      </x:c>
      <x:c r="G91" s="16">
        <x:v>1</x:v>
      </x:c>
      <x:c r="H91" s="16">
        <x:v>92</x:v>
      </x:c>
      <x:c r="I91" s="16">
        <x:v>32</x:v>
      </x:c>
      <x:c r="J91" s="15" t="inlineStr">
        <x:is>
          <x:t xml:space="preserve">19/7</x:t>
        </x:is>
      </x:c>
      <x:c r="K91" s="1"/>
      <x:c r="L91" s="1"/>
    </x:row>
    <x:row r="92" ht="22" customHeight="1">
      <x:c r="A92" s="92" t="n">
        <x:v>43119</x:v>
      </x:c>
      <x:c r="B92" s="21" t="n">
        <x:v>2018</x:v>
      </x:c>
      <x:c r="C92" s="14">
        <x:v>1903</x:v>
      </x:c>
      <x:c r="D92" s="14">
        <x:v>1</x:v>
      </x:c>
      <x:c r="E92" s="14">
        <x:v>1</x:v>
      </x:c>
      <x:c r="F92" s="14">
        <x:v>0</x:v>
      </x:c>
      <x:c r="G92" s="14">
        <x:v>0</x:v>
      </x:c>
      <x:c r="H92" s="14">
        <x:v>53</x:v>
      </x:c>
      <x:c r="I92" s="14">
        <x:v>1</x:v>
      </x:c>
      <x:c r="J92" s="13" t="inlineStr">
        <x:is>
          <x:t xml:space="preserve">19/8</x:t>
        </x:is>
      </x:c>
      <x:c r="K92" s="1"/>
      <x:c r="L92" s="1"/>
    </x:row>
    <x:row r="93" ht="22" customHeight="1">
      <x:c r="A93" s="93" t="n">
        <x:v>43122</x:v>
      </x:c>
      <x:c r="B93" s="24" t="n">
        <x:v>2018</x:v>
      </x:c>
      <x:c r="C93" s="16">
        <x:v>758</x:v>
      </x:c>
      <x:c r="D93" s="16">
        <x:v>0</x:v>
      </x:c>
      <x:c r="E93" s="16">
        <x:v>0</x:v>
      </x:c>
      <x:c r="F93" s="16">
        <x:v>0</x:v>
      </x:c>
      <x:c r="G93" s="16">
        <x:v>0</x:v>
      </x:c>
      <x:c r="H93" s="16">
        <x:v>16</x:v>
      </x:c>
      <x:c r="I93" s="16">
        <x:v>0</x:v>
      </x:c>
      <x:c r="J93" s="15"/>
      <x:c r="K93" s="1"/>
      <x:c r="L93" s="1"/>
    </x:row>
    <x:row r="94" ht="22" customHeight="1">
      <x:c r="A94" s="92" t="n">
        <x:v>43131</x:v>
      </x:c>
      <x:c r="B94" s="21" t="n">
        <x:v>2018</x:v>
      </x:c>
      <x:c r="C94" s="14">
        <x:v>931</x:v>
      </x:c>
      <x:c r="D94" s="14">
        <x:v>5</x:v>
      </x:c>
      <x:c r="E94" s="14">
        <x:v>1</x:v>
      </x:c>
      <x:c r="F94" s="14">
        <x:v>4</x:v>
      </x:c>
      <x:c r="G94" s="14">
        <x:v>0</x:v>
      </x:c>
      <x:c r="H94" s="14">
        <x:v>59</x:v>
      </x:c>
      <x:c r="I94" s="14">
        <x:v>4</x:v>
      </x:c>
      <x:c r="J94" s="13" t="inlineStr">
        <x:is>
          <x:t xml:space="preserve">19/10</x:t>
        </x:is>
      </x:c>
      <x:c r="K94" s="1"/>
      <x:c r="L94" s="1"/>
    </x:row>
    <x:row r="95" ht="22" customHeight="1">
      <x:c r="A95" s="93" t="n">
        <x:v>43132</x:v>
      </x:c>
      <x:c r="B95" s="24" t="n">
        <x:v>2018</x:v>
      </x:c>
      <x:c r="C95" s="16">
        <x:v>4769</x:v>
      </x:c>
      <x:c r="D95" s="16">
        <x:v>0</x:v>
      </x:c>
      <x:c r="E95" s="16">
        <x:v>0</x:v>
      </x:c>
      <x:c r="F95" s="16">
        <x:v>0</x:v>
      </x:c>
      <x:c r="G95" s="16">
        <x:v>0</x:v>
      </x:c>
      <x:c r="H95" s="16">
        <x:v>120</x:v>
      </x:c>
      <x:c r="I95" s="16">
        <x:v>0</x:v>
      </x:c>
      <x:c r="J95" s="15"/>
      <x:c r="K95" s="1"/>
      <x:c r="L95" s="1"/>
    </x:row>
    <x:row r="96" ht="22" customHeight="1">
      <x:c r="A96" s="92" t="n">
        <x:v>43133</x:v>
      </x:c>
      <x:c r="B96" s="21" t="n">
        <x:v>2018</x:v>
      </x:c>
      <x:c r="C96" s="14">
        <x:v>2442</x:v>
      </x:c>
      <x:c r="D96" s="14">
        <x:v>71</x:v>
      </x:c>
      <x:c r="E96" s="14">
        <x:v>5</x:v>
      </x:c>
      <x:c r="F96" s="14">
        <x:v>19</x:v>
      </x:c>
      <x:c r="G96" s="14">
        <x:v>0</x:v>
      </x:c>
      <x:c r="H96" s="14">
        <x:v>59</x:v>
      </x:c>
      <x:c r="I96" s="14">
        <x:v>10</x:v>
      </x:c>
      <x:c r="J96" s="13" t="inlineStr">
        <x:is>
          <x:t xml:space="preserve">19/12</x:t>
        </x:is>
      </x:c>
      <x:c r="K96" s="1"/>
      <x:c r="L96" s="1"/>
    </x:row>
    <x:row r="97" ht="22" customHeight="1">
      <x:c r="A97" s="93" t="n">
        <x:v>43152</x:v>
      </x:c>
      <x:c r="B97" s="24" t="n">
        <x:v>2018</x:v>
      </x:c>
      <x:c r="C97" s="16">
        <x:v>938</x:v>
      </x:c>
      <x:c r="D97" s="16">
        <x:v>66</x:v>
      </x:c>
      <x:c r="E97" s="16">
        <x:v>2</x:v>
      </x:c>
      <x:c r="F97" s="16">
        <x:v>9</x:v>
      </x:c>
      <x:c r="G97" s="16">
        <x:v>0</x:v>
      </x:c>
      <x:c r="H97" s="16">
        <x:v>73</x:v>
      </x:c>
      <x:c r="I97" s="16">
        <x:v>33</x:v>
      </x:c>
      <x:c r="J97" s="15" t="inlineStr">
        <x:is>
          <x:t xml:space="preserve">19/13</x:t>
        </x:is>
      </x:c>
      <x:c r="K97" s="1"/>
      <x:c r="L97" s="1"/>
    </x:row>
    <x:row r="98" ht="22" customHeight="1">
      <x:c r="A98" s="92" t="n">
        <x:v>43153</x:v>
      </x:c>
      <x:c r="B98" s="21" t="n">
        <x:v>2018</x:v>
      </x:c>
      <x:c r="C98" s="14">
        <x:v>5794</x:v>
      </x:c>
      <x:c r="D98" s="14">
        <x:v>152</x:v>
      </x:c>
      <x:c r="E98" s="14">
        <x:v>89</x:v>
      </x:c>
      <x:c r="F98" s="14">
        <x:v>19</x:v>
      </x:c>
      <x:c r="G98" s="14">
        <x:v>2</x:v>
      </x:c>
      <x:c r="H98" s="14">
        <x:v>126</x:v>
      </x:c>
      <x:c r="I98" s="14">
        <x:v>23</x:v>
      </x:c>
      <x:c r="J98" s="13" t="inlineStr">
        <x:is>
          <x:t xml:space="preserve">19/14</x:t>
        </x:is>
      </x:c>
      <x:c r="K98" s="1"/>
      <x:c r="L98" s="1"/>
    </x:row>
    <x:row r="99" ht="22" customHeight="1">
      <x:c r="A99" s="93" t="n">
        <x:v>43154</x:v>
      </x:c>
      <x:c r="B99" s="24" t="n">
        <x:v>2018</x:v>
      </x:c>
      <x:c r="C99" s="16">
        <x:v>2494</x:v>
      </x:c>
      <x:c r="D99" s="16">
        <x:v>5</x:v>
      </x:c>
      <x:c r="E99" s="16">
        <x:v>0</x:v>
      </x:c>
      <x:c r="F99" s="16">
        <x:v>1</x:v>
      </x:c>
      <x:c r="G99" s="16">
        <x:v>0</x:v>
      </x:c>
      <x:c r="H99" s="16">
        <x:v>63</x:v>
      </x:c>
      <x:c r="I99" s="16">
        <x:v>4</x:v>
      </x:c>
      <x:c r="J99" s="15" t="inlineStr">
        <x:is>
          <x:t xml:space="preserve">19/15</x:t>
        </x:is>
      </x:c>
      <x:c r="K99" s="1"/>
      <x:c r="L99" s="1"/>
    </x:row>
    <x:row r="100" ht="22" customHeight="1">
      <x:c r="A100" s="92" t="n">
        <x:v>43159</x:v>
      </x:c>
      <x:c r="B100" s="21" t="n">
        <x:v>2018</x:v>
      </x:c>
      <x:c r="C100" s="14">
        <x:v>922</x:v>
      </x:c>
      <x:c r="D100" s="14">
        <x:v>4</x:v>
      </x:c>
      <x:c r="E100" s="14">
        <x:v>2</x:v>
      </x:c>
      <x:c r="F100" s="14">
        <x:v>0</x:v>
      </x:c>
      <x:c r="G100" s="14">
        <x:v>0</x:v>
      </x:c>
      <x:c r="H100" s="14">
        <x:v>63</x:v>
      </x:c>
      <x:c r="I100" s="14">
        <x:v>2</x:v>
      </x:c>
      <x:c r="J100" s="13" t="inlineStr">
        <x:is>
          <x:t xml:space="preserve">19/16</x:t>
        </x:is>
      </x:c>
      <x:c r="K100" s="1"/>
      <x:c r="L100" s="1"/>
    </x:row>
    <x:row r="101" ht="22" customHeight="1">
      <x:c r="A101" s="93" t="n">
        <x:v>43160</x:v>
      </x:c>
      <x:c r="B101" s="24" t="n">
        <x:v>2018</x:v>
      </x:c>
      <x:c r="C101" s="16">
        <x:v>4154</x:v>
      </x:c>
      <x:c r="D101" s="16">
        <x:v>10</x:v>
      </x:c>
      <x:c r="E101" s="16">
        <x:v>0</x:v>
      </x:c>
      <x:c r="F101" s="16">
        <x:v>2</x:v>
      </x:c>
      <x:c r="G101" s="16">
        <x:v>0</x:v>
      </x:c>
      <x:c r="H101" s="16">
        <x:v>102</x:v>
      </x:c>
      <x:c r="I101" s="16">
        <x:v>8</x:v>
      </x:c>
      <x:c r="J101" s="15" t="inlineStr">
        <x:is>
          <x:t xml:space="preserve">19/17</x:t>
        </x:is>
      </x:c>
      <x:c r="K101" s="1"/>
      <x:c r="L101" s="1"/>
    </x:row>
    <x:row r="102" ht="22" customHeight="1">
      <x:c r="A102" s="92" t="n">
        <x:v>43161</x:v>
      </x:c>
      <x:c r="B102" s="21" t="n">
        <x:v>2018</x:v>
      </x:c>
      <x:c r="C102" s="14">
        <x:v>2563</x:v>
      </x:c>
      <x:c r="D102" s="14">
        <x:v>2</x:v>
      </x:c>
      <x:c r="E102" s="14">
        <x:v>1</x:v>
      </x:c>
      <x:c r="F102" s="14">
        <x:v>1</x:v>
      </x:c>
      <x:c r="G102" s="14">
        <x:v>0</x:v>
      </x:c>
      <x:c r="H102" s="14">
        <x:v>65</x:v>
      </x:c>
      <x:c r="I102" s="14">
        <x:v>2</x:v>
      </x:c>
      <x:c r="J102" s="13" t="inlineStr">
        <x:is>
          <x:t xml:space="preserve">19/18</x:t>
        </x:is>
      </x:c>
      <x:c r="K102" s="1"/>
      <x:c r="L102" s="1"/>
    </x:row>
    <x:row r="103" ht="22" customHeight="1">
      <x:c r="A103" s="93" t="n">
        <x:v>43173</x:v>
      </x:c>
      <x:c r="B103" s="24" t="n">
        <x:v>2018</x:v>
      </x:c>
      <x:c r="C103" s="16">
        <x:v>55</x:v>
      </x:c>
      <x:c r="D103" s="16">
        <x:v>1</x:v>
      </x:c>
      <x:c r="E103" s="16">
        <x:v>0</x:v>
      </x:c>
      <x:c r="F103" s="16">
        <x:v>0</x:v>
      </x:c>
      <x:c r="G103" s="16">
        <x:v>0</x:v>
      </x:c>
      <x:c r="H103" s="16">
        <x:v>21</x:v>
      </x:c>
      <x:c r="I103" s="16">
        <x:v>1</x:v>
      </x:c>
      <x:c r="J103" s="15" t="inlineStr">
        <x:is>
          <x:t xml:space="preserve">19/19</x:t>
        </x:is>
      </x:c>
      <x:c r="K103" s="1"/>
      <x:c r="L103" s="1"/>
    </x:row>
    <x:row r="104" ht="22" customHeight="1">
      <x:c r="A104" s="92" t="n">
        <x:v>43174</x:v>
      </x:c>
      <x:c r="B104" s="21" t="n">
        <x:v>2018</x:v>
      </x:c>
      <x:c r="C104" s="14">
        <x:v>4912</x:v>
      </x:c>
      <x:c r="D104" s="14">
        <x:v>37</x:v>
      </x:c>
      <x:c r="E104" s="14">
        <x:v>17</x:v>
      </x:c>
      <x:c r="F104" s="14">
        <x:v>3</x:v>
      </x:c>
      <x:c r="G104" s="14">
        <x:v>1</x:v>
      </x:c>
      <x:c r="H104" s="14">
        <x:v>125</x:v>
      </x:c>
      <x:c r="I104" s="14">
        <x:v>11</x:v>
      </x:c>
      <x:c r="J104" s="13" t="inlineStr">
        <x:is>
          <x:t xml:space="preserve">19/20</x:t>
        </x:is>
      </x:c>
      <x:c r="K104" s="1"/>
      <x:c r="L104" s="1"/>
    </x:row>
    <x:row r="105" ht="22" customHeight="1">
      <x:c r="A105" s="93" t="n">
        <x:v>43175</x:v>
      </x:c>
      <x:c r="B105" s="24" t="n">
        <x:v>2018</x:v>
      </x:c>
      <x:c r="C105" s="16">
        <x:v>1901</x:v>
      </x:c>
      <x:c r="D105" s="16">
        <x:v>1</x:v>
      </x:c>
      <x:c r="E105" s="16">
        <x:v>0</x:v>
      </x:c>
      <x:c r="F105" s="16">
        <x:v>0</x:v>
      </x:c>
      <x:c r="G105" s="16">
        <x:v>0</x:v>
      </x:c>
      <x:c r="H105" s="16">
        <x:v>50</x:v>
      </x:c>
      <x:c r="I105" s="16">
        <x:v>1</x:v>
      </x:c>
      <x:c r="J105" s="15" t="inlineStr">
        <x:is>
          <x:t xml:space="preserve">19/21</x:t>
        </x:is>
      </x:c>
      <x:c r="K105" s="1"/>
      <x:c r="L105" s="1"/>
    </x:row>
    <x:row r="106" ht="22" customHeight="1">
      <x:c r="A106" s="92" t="n">
        <x:v>43180</x:v>
      </x:c>
      <x:c r="B106" s="21" t="n">
        <x:v>2018</x:v>
      </x:c>
      <x:c r="C106" s="14">
        <x:v>4156</x:v>
      </x:c>
      <x:c r="D106" s="14">
        <x:v>17</x:v>
      </x:c>
      <x:c r="E106" s="14">
        <x:v>1</x:v>
      </x:c>
      <x:c r="F106" s="14">
        <x:v>6</x:v>
      </x:c>
      <x:c r="G106" s="14">
        <x:v>1</x:v>
      </x:c>
      <x:c r="H106" s="14">
        <x:v>121</x:v>
      </x:c>
      <x:c r="I106" s="14">
        <x:v>12</x:v>
      </x:c>
      <x:c r="J106" s="13" t="inlineStr">
        <x:is>
          <x:t xml:space="preserve">19/22</x:t>
        </x:is>
      </x:c>
      <x:c r="K106" s="1"/>
      <x:c r="L106" s="1"/>
    </x:row>
    <x:row r="107" ht="22" customHeight="1">
      <x:c r="A107" s="93" t="n">
        <x:v>43181</x:v>
      </x:c>
      <x:c r="B107" s="24" t="n">
        <x:v>2018</x:v>
      </x:c>
      <x:c r="C107" s="16">
        <x:v>6161</x:v>
      </x:c>
      <x:c r="D107" s="16">
        <x:v>12</x:v>
      </x:c>
      <x:c r="E107" s="16">
        <x:v>0</x:v>
      </x:c>
      <x:c r="F107" s="16">
        <x:v>5</x:v>
      </x:c>
      <x:c r="G107" s="16">
        <x:v>1</x:v>
      </x:c>
      <x:c r="H107" s="16">
        <x:v>142</x:v>
      </x:c>
      <x:c r="I107" s="16">
        <x:v>9</x:v>
      </x:c>
      <x:c r="J107" s="15" t="inlineStr">
        <x:is>
          <x:t xml:space="preserve">19/23</x:t>
        </x:is>
      </x:c>
      <x:c r="K107" s="1"/>
      <x:c r="L107" s="1"/>
    </x:row>
    <x:row r="108" ht="22" customHeight="1">
      <x:c r="A108" s="92" t="n">
        <x:v>43182</x:v>
      </x:c>
      <x:c r="B108" s="21" t="n">
        <x:v>2018</x:v>
      </x:c>
      <x:c r="C108" s="14">
        <x:v>3379</x:v>
      </x:c>
      <x:c r="D108" s="14">
        <x:v>218</x:v>
      </x:c>
      <x:c r="E108" s="14">
        <x:v>56</x:v>
      </x:c>
      <x:c r="F108" s="14">
        <x:v>34</x:v>
      </x:c>
      <x:c r="G108" s="14">
        <x:v>0</x:v>
      </x:c>
      <x:c r="H108" s="14">
        <x:v>68</x:v>
      </x:c>
      <x:c r="I108" s="14">
        <x:v>22</x:v>
      </x:c>
      <x:c r="J108" s="13" t="inlineStr">
        <x:is>
          <x:t xml:space="preserve">19/24</x:t>
        </x:is>
      </x:c>
      <x:c r="K108" s="1"/>
      <x:c r="L108" s="1"/>
    </x:row>
    <x:row r="109" ht="22" customHeight="1">
      <x:c r="A109" s="93" t="n">
        <x:v>43208</x:v>
      </x:c>
      <x:c r="B109" s="24" t="n">
        <x:v>2018</x:v>
      </x:c>
      <x:c r="C109" s="16">
        <x:v>1080</x:v>
      </x:c>
      <x:c r="D109" s="16">
        <x:v>0</x:v>
      </x:c>
      <x:c r="E109" s="16">
        <x:v>0</x:v>
      </x:c>
      <x:c r="F109" s="16">
        <x:v>0</x:v>
      </x:c>
      <x:c r="G109" s="16">
        <x:v>0</x:v>
      </x:c>
      <x:c r="H109" s="16">
        <x:v>75</x:v>
      </x:c>
      <x:c r="I109" s="16">
        <x:v>0</x:v>
      </x:c>
      <x:c r="J109" s="15"/>
      <x:c r="K109" s="1"/>
      <x:c r="L109" s="1"/>
    </x:row>
    <x:row r="110" ht="22" customHeight="1">
      <x:c r="A110" s="92" t="n">
        <x:v>43209</x:v>
      </x:c>
      <x:c r="B110" s="21" t="n">
        <x:v>2018</x:v>
      </x:c>
      <x:c r="C110" s="14">
        <x:v>6513</x:v>
      </x:c>
      <x:c r="D110" s="14">
        <x:v>9</x:v>
      </x:c>
      <x:c r="E110" s="14">
        <x:v>1</x:v>
      </x:c>
      <x:c r="F110" s="14">
        <x:v>0</x:v>
      </x:c>
      <x:c r="G110" s="14">
        <x:v>1</x:v>
      </x:c>
      <x:c r="H110" s="14">
        <x:v>162</x:v>
      </x:c>
      <x:c r="I110" s="14">
        <x:v>8</x:v>
      </x:c>
      <x:c r="J110" s="13" t="inlineStr">
        <x:is>
          <x:t xml:space="preserve">19/26</x:t>
        </x:is>
      </x:c>
      <x:c r="K110" s="1"/>
      <x:c r="L110" s="1"/>
    </x:row>
    <x:row r="111" ht="22" customHeight="1">
      <x:c r="A111" s="93" t="n">
        <x:v>43210</x:v>
      </x:c>
      <x:c r="B111" s="24" t="n">
        <x:v>2018</x:v>
      </x:c>
      <x:c r="C111" s="16">
        <x:v>2620</x:v>
      </x:c>
      <x:c r="D111" s="16">
        <x:v>93</x:v>
      </x:c>
      <x:c r="E111" s="16">
        <x:v>44</x:v>
      </x:c>
      <x:c r="F111" s="16">
        <x:v>10</x:v>
      </x:c>
      <x:c r="G111" s="16">
        <x:v>1</x:v>
      </x:c>
      <x:c r="H111" s="16">
        <x:v>58</x:v>
      </x:c>
      <x:c r="I111" s="16">
        <x:v>11</x:v>
      </x:c>
      <x:c r="J111" s="15" t="inlineStr">
        <x:is>
          <x:t xml:space="preserve">19/27</x:t>
        </x:is>
      </x:c>
      <x:c r="K111" s="1"/>
      <x:c r="L111" s="1"/>
    </x:row>
    <x:row r="112" ht="22" customHeight="1">
      <x:c r="A112" s="92" t="n">
        <x:v>43215</x:v>
      </x:c>
      <x:c r="B112" s="21" t="n">
        <x:v>2018</x:v>
      </x:c>
      <x:c r="C112" s="14">
        <x:v>1102</x:v>
      </x:c>
      <x:c r="D112" s="14">
        <x:v>3</x:v>
      </x:c>
      <x:c r="E112" s="14">
        <x:v>1</x:v>
      </x:c>
      <x:c r="F112" s="14">
        <x:v>2</x:v>
      </x:c>
      <x:c r="G112" s="14">
        <x:v>0</x:v>
      </x:c>
      <x:c r="H112" s="14">
        <x:v>65</x:v>
      </x:c>
      <x:c r="I112" s="14">
        <x:v>3</x:v>
      </x:c>
      <x:c r="J112" s="13" t="inlineStr">
        <x:is>
          <x:t xml:space="preserve">19/28</x:t>
        </x:is>
      </x:c>
      <x:c r="K112" s="1"/>
      <x:c r="L112" s="1"/>
    </x:row>
    <x:row r="113" ht="22" customHeight="1">
      <x:c r="A113" s="93" t="n">
        <x:v>43216</x:v>
      </x:c>
      <x:c r="B113" s="24" t="n">
        <x:v>2018</x:v>
      </x:c>
      <x:c r="C113" s="16">
        <x:v>6821</x:v>
      </x:c>
      <x:c r="D113" s="16">
        <x:v>18</x:v>
      </x:c>
      <x:c r="E113" s="16">
        <x:v>2</x:v>
      </x:c>
      <x:c r="F113" s="16">
        <x:v>2</x:v>
      </x:c>
      <x:c r="G113" s="16">
        <x:v>1</x:v>
      </x:c>
      <x:c r="H113" s="16">
        <x:v>168</x:v>
      </x:c>
      <x:c r="I113" s="16">
        <x:v>13</x:v>
      </x:c>
      <x:c r="J113" s="15" t="inlineStr">
        <x:is>
          <x:t xml:space="preserve">19/29</x:t>
        </x:is>
      </x:c>
      <x:c r="K113" s="1"/>
      <x:c r="L113" s="1"/>
    </x:row>
    <x:row r="114" ht="22" customHeight="1">
      <x:c r="A114" s="92" t="n">
        <x:v>43217</x:v>
      </x:c>
      <x:c r="B114" s="21" t="n">
        <x:v>2018</x:v>
      </x:c>
      <x:c r="C114" s="14">
        <x:v>2111</x:v>
      </x:c>
      <x:c r="D114" s="14">
        <x:v>1</x:v>
      </x:c>
      <x:c r="E114" s="14">
        <x:v>0</x:v>
      </x:c>
      <x:c r="F114" s="14">
        <x:v>0</x:v>
      </x:c>
      <x:c r="G114" s="14">
        <x:v>0</x:v>
      </x:c>
      <x:c r="H114" s="14">
        <x:v>47</x:v>
      </x:c>
      <x:c r="I114" s="14">
        <x:v>1</x:v>
      </x:c>
      <x:c r="J114" s="13" t="inlineStr">
        <x:is>
          <x:t xml:space="preserve">19/30</x:t>
        </x:is>
      </x:c>
      <x:c r="K114" s="1"/>
      <x:c r="L114" s="1"/>
    </x:row>
    <x:row r="115" ht="22" customHeight="1">
      <x:c r="A115" s="93" t="n">
        <x:v>43235</x:v>
      </x:c>
      <x:c r="B115" s="24" t="n">
        <x:v>2018</x:v>
      </x:c>
      <x:c r="C115" s="16">
        <x:v>3710</x:v>
      </x:c>
      <x:c r="D115" s="16">
        <x:v>236</x:v>
      </x:c>
      <x:c r="E115" s="16">
        <x:v>72</x:v>
      </x:c>
      <x:c r="F115" s="16">
        <x:v>43</x:v>
      </x:c>
      <x:c r="G115" s="16">
        <x:v>3</x:v>
      </x:c>
      <x:c r="H115" s="16">
        <x:v>64</x:v>
      </x:c>
      <x:c r="I115" s="16">
        <x:v>28</x:v>
      </x:c>
      <x:c r="J115" s="15" t="inlineStr">
        <x:is>
          <x:t xml:space="preserve">19/31</x:t>
        </x:is>
      </x:c>
      <x:c r="K115" s="1"/>
      <x:c r="L115" s="1"/>
    </x:row>
    <x:row r="116" ht="22" customHeight="1">
      <x:c r="A116" s="92" t="n">
        <x:v>43236</x:v>
      </x:c>
      <x:c r="B116" s="21" t="n">
        <x:v>2018</x:v>
      </x:c>
      <x:c r="C116" s="14">
        <x:v>4322</x:v>
      </x:c>
      <x:c r="D116" s="14">
        <x:v>17</x:v>
      </x:c>
      <x:c r="E116" s="14">
        <x:v>4</x:v>
      </x:c>
      <x:c r="F116" s="14">
        <x:v>3</x:v>
      </x:c>
      <x:c r="G116" s="14">
        <x:v>3</x:v>
      </x:c>
      <x:c r="H116" s="14">
        <x:v>75</x:v>
      </x:c>
      <x:c r="I116" s="14">
        <x:v>10</x:v>
      </x:c>
      <x:c r="J116" s="13" t="inlineStr">
        <x:is>
          <x:t xml:space="preserve">19/32</x:t>
        </x:is>
      </x:c>
      <x:c r="K116" s="1"/>
      <x:c r="L116" s="1"/>
    </x:row>
    <x:row r="117" ht="22" customHeight="1">
      <x:c r="A117" s="93" t="n">
        <x:v>43237</x:v>
      </x:c>
      <x:c r="B117" s="24" t="n">
        <x:v>2018</x:v>
      </x:c>
      <x:c r="C117" s="16">
        <x:v>4234</x:v>
      </x:c>
      <x:c r="D117" s="16">
        <x:v>4</x:v>
      </x:c>
      <x:c r="E117" s="16">
        <x:v>0</x:v>
      </x:c>
      <x:c r="F117" s="16">
        <x:v>0</x:v>
      </x:c>
      <x:c r="G117" s="16">
        <x:v>0</x:v>
      </x:c>
      <x:c r="H117" s="16">
        <x:v>86</x:v>
      </x:c>
      <x:c r="I117" s="16">
        <x:v>3</x:v>
      </x:c>
      <x:c r="J117" s="15" t="inlineStr">
        <x:is>
          <x:t xml:space="preserve">19/33</x:t>
        </x:is>
      </x:c>
      <x:c r="K117" s="1"/>
      <x:c r="L117" s="1"/>
    </x:row>
    <x:row r="118" ht="22" customHeight="1">
      <x:c r="A118" s="92" t="n">
        <x:v>43238</x:v>
      </x:c>
      <x:c r="B118" s="21" t="n">
        <x:v>2018</x:v>
      </x:c>
      <x:c r="C118" s="14">
        <x:v>2527</x:v>
      </x:c>
      <x:c r="D118" s="14">
        <x:v>3</x:v>
      </x:c>
      <x:c r="E118" s="14">
        <x:v>0</x:v>
      </x:c>
      <x:c r="F118" s="14">
        <x:v>0</x:v>
      </x:c>
      <x:c r="G118" s="14">
        <x:v>0</x:v>
      </x:c>
      <x:c r="H118" s="14">
        <x:v>48</x:v>
      </x:c>
      <x:c r="I118" s="14">
        <x:v>3</x:v>
      </x:c>
      <x:c r="J118" s="13" t="inlineStr">
        <x:is>
          <x:t xml:space="preserve">19/34</x:t>
        </x:is>
      </x:c>
      <x:c r="K118" s="1"/>
      <x:c r="L118" s="1"/>
    </x:row>
    <x:row r="119" ht="22" customHeight="1">
      <x:c r="A119" s="93" t="n">
        <x:v>43257</x:v>
      </x:c>
      <x:c r="B119" s="24" t="n">
        <x:v>2018</x:v>
      </x:c>
      <x:c r="C119" s="16">
        <x:v>1059</x:v>
      </x:c>
      <x:c r="D119" s="16">
        <x:v>0</x:v>
      </x:c>
      <x:c r="E119" s="16">
        <x:v>0</x:v>
      </x:c>
      <x:c r="F119" s="16">
        <x:v>0</x:v>
      </x:c>
      <x:c r="G119" s="16">
        <x:v>0</x:v>
      </x:c>
      <x:c r="H119" s="16">
        <x:v>75</x:v>
      </x:c>
      <x:c r="I119" s="16">
        <x:v>0</x:v>
      </x:c>
      <x:c r="J119" s="15"/>
      <x:c r="K119" s="1"/>
      <x:c r="L119" s="1"/>
    </x:row>
    <x:row r="120" ht="22" customHeight="1">
      <x:c r="A120" s="92" t="n">
        <x:v>43258</x:v>
      </x:c>
      <x:c r="B120" s="21" t="n">
        <x:v>2018</x:v>
      </x:c>
      <x:c r="C120" s="14">
        <x:v>7163</x:v>
      </x:c>
      <x:c r="D120" s="14">
        <x:v>13</x:v>
      </x:c>
      <x:c r="E120" s="14">
        <x:v>2</x:v>
      </x:c>
      <x:c r="F120" s="14">
        <x:v>5</x:v>
      </x:c>
      <x:c r="G120" s="14">
        <x:v>1</x:v>
      </x:c>
      <x:c r="H120" s="14">
        <x:v>168</x:v>
      </x:c>
      <x:c r="I120" s="14">
        <x:v>11</x:v>
      </x:c>
      <x:c r="J120" s="13" t="inlineStr">
        <x:is>
          <x:t xml:space="preserve">19/36</x:t>
        </x:is>
      </x:c>
      <x:c r="K120" s="1"/>
      <x:c r="L120" s="1"/>
    </x:row>
    <x:row r="121" ht="22" customHeight="1">
      <x:c r="A121" s="93" t="n">
        <x:v>43259</x:v>
      </x:c>
      <x:c r="B121" s="24" t="n">
        <x:v>2018</x:v>
      </x:c>
      <x:c r="C121" s="16">
        <x:v>4252</x:v>
      </x:c>
      <x:c r="D121" s="16">
        <x:v>244</x:v>
      </x:c>
      <x:c r="E121" s="16">
        <x:v>77</x:v>
      </x:c>
      <x:c r="F121" s="16">
        <x:v>54</x:v>
      </x:c>
      <x:c r="G121" s="16">
        <x:v>7</x:v>
      </x:c>
      <x:c r="H121" s="16">
        <x:v>97</x:v>
      </x:c>
      <x:c r="I121" s="16">
        <x:v>27</x:v>
      </x:c>
      <x:c r="J121" s="15" t="inlineStr">
        <x:is>
          <x:t xml:space="preserve">19/37</x:t>
        </x:is>
      </x:c>
      <x:c r="K121" s="1"/>
      <x:c r="L121" s="1"/>
    </x:row>
    <x:row r="122" ht="22" customHeight="1">
      <x:c r="A122" s="92" t="n">
        <x:v>43264</x:v>
      </x:c>
      <x:c r="B122" s="21" t="n">
        <x:v>2018</x:v>
      </x:c>
      <x:c r="C122" s="14">
        <x:v>1273</x:v>
      </x:c>
      <x:c r="D122" s="14">
        <x:v>5</x:v>
      </x:c>
      <x:c r="E122" s="14">
        <x:v>0</x:v>
      </x:c>
      <x:c r="F122" s="14">
        <x:v>0</x:v>
      </x:c>
      <x:c r="G122" s="14">
        <x:v>0</x:v>
      </x:c>
      <x:c r="H122" s="14">
        <x:v>80</x:v>
      </x:c>
      <x:c r="I122" s="14">
        <x:v>4</x:v>
      </x:c>
      <x:c r="J122" s="13" t="inlineStr">
        <x:is>
          <x:t xml:space="preserve">19/38</x:t>
        </x:is>
      </x:c>
      <x:c r="K122" s="1"/>
      <x:c r="L122" s="1"/>
    </x:row>
    <x:row r="123" ht="22" customHeight="1">
      <x:c r="A123" s="93" t="n">
        <x:v>43265</x:v>
      </x:c>
      <x:c r="B123" s="24" t="n">
        <x:v>2018</x:v>
      </x:c>
      <x:c r="C123" s="16">
        <x:v>5169</x:v>
      </x:c>
      <x:c r="D123" s="16">
        <x:v>12</x:v>
      </x:c>
      <x:c r="E123" s="16">
        <x:v>3</x:v>
      </x:c>
      <x:c r="F123" s="16">
        <x:v>4</x:v>
      </x:c>
      <x:c r="G123" s="16">
        <x:v>0</x:v>
      </x:c>
      <x:c r="H123" s="16">
        <x:v>139</x:v>
      </x:c>
      <x:c r="I123" s="16">
        <x:v>10</x:v>
      </x:c>
      <x:c r="J123" s="15" t="inlineStr">
        <x:is>
          <x:t xml:space="preserve">19/39</x:t>
        </x:is>
      </x:c>
      <x:c r="K123" s="1"/>
      <x:c r="L123" s="1"/>
    </x:row>
    <x:row r="124" ht="22" customHeight="1">
      <x:c r="A124" s="92" t="n">
        <x:v>43266</x:v>
      </x:c>
      <x:c r="B124" s="21" t="n">
        <x:v>2018</x:v>
      </x:c>
      <x:c r="C124" s="14">
        <x:v>3646</x:v>
      </x:c>
      <x:c r="D124" s="14">
        <x:v>1</x:v>
      </x:c>
      <x:c r="E124" s="14">
        <x:v>1</x:v>
      </x:c>
      <x:c r="F124" s="14">
        <x:v>0</x:v>
      </x:c>
      <x:c r="G124" s="14">
        <x:v>0</x:v>
      </x:c>
      <x:c r="H124" s="14">
        <x:v>89</x:v>
      </x:c>
      <x:c r="I124" s="14">
        <x:v>1</x:v>
      </x:c>
      <x:c r="J124" s="13" t="inlineStr">
        <x:is>
          <x:t xml:space="preserve">19/40</x:t>
        </x:is>
      </x:c>
      <x:c r="K124" s="1"/>
      <x:c r="L124" s="1"/>
    </x:row>
    <x:row r="125" ht="22" customHeight="1">
      <x:c r="A125" s="93" t="n">
        <x:v>43278</x:v>
      </x:c>
      <x:c r="B125" s="24" t="n">
        <x:v>2018</x:v>
      </x:c>
      <x:c r="C125" s="16">
        <x:v>1139</x:v>
      </x:c>
      <x:c r="D125" s="16">
        <x:v>0</x:v>
      </x:c>
      <x:c r="E125" s="16">
        <x:v>0</x:v>
      </x:c>
      <x:c r="F125" s="16">
        <x:v>0</x:v>
      </x:c>
      <x:c r="G125" s="16">
        <x:v>0</x:v>
      </x:c>
      <x:c r="H125" s="16">
        <x:v>82</x:v>
      </x:c>
      <x:c r="I125" s="16">
        <x:v>0</x:v>
      </x:c>
      <x:c r="J125" s="15"/>
      <x:c r="K125" s="1"/>
      <x:c r="L125" s="1"/>
    </x:row>
    <x:row r="126" ht="22" customHeight="1">
      <x:c r="A126" s="92" t="n">
        <x:v>43279</x:v>
      </x:c>
      <x:c r="B126" s="21" t="n">
        <x:v>2018</x:v>
      </x:c>
      <x:c r="C126" s="14">
        <x:v>7874</x:v>
      </x:c>
      <x:c r="D126" s="14">
        <x:v>338</x:v>
      </x:c>
      <x:c r="E126" s="14">
        <x:v>126</x:v>
      </x:c>
      <x:c r="F126" s="14">
        <x:v>50</x:v>
      </x:c>
      <x:c r="G126" s="14">
        <x:v>1</x:v>
      </x:c>
      <x:c r="H126" s="14">
        <x:v>196</x:v>
      </x:c>
      <x:c r="I126" s="14">
        <x:v>39</x:v>
      </x:c>
      <x:c r="J126" s="13" t="inlineStr">
        <x:is>
          <x:t xml:space="preserve">19/42</x:t>
        </x:is>
      </x:c>
      <x:c r="K126" s="1"/>
      <x:c r="L126" s="1"/>
    </x:row>
    <x:row r="127" ht="22" customHeight="1">
      <x:c r="A127" s="93" t="n">
        <x:v>43280</x:v>
      </x:c>
      <x:c r="B127" s="24" t="n">
        <x:v>2018</x:v>
      </x:c>
      <x:c r="C127" s="16">
        <x:v>3990</x:v>
      </x:c>
      <x:c r="D127" s="16">
        <x:v>77</x:v>
      </x:c>
      <x:c r="E127" s="16">
        <x:v>15</x:v>
      </x:c>
      <x:c r="F127" s="16">
        <x:v>9</x:v>
      </x:c>
      <x:c r="G127" s="16">
        <x:v>1</x:v>
      </x:c>
      <x:c r="H127" s="16">
        <x:v>93</x:v>
      </x:c>
      <x:c r="I127" s="16">
        <x:v>15</x:v>
      </x:c>
      <x:c r="J127" s="15" t="inlineStr">
        <x:is>
          <x:t xml:space="preserve">19/43</x:t>
        </x:is>
      </x:c>
      <x:c r="K127" s="1"/>
      <x:c r="L127" s="1"/>
    </x:row>
    <x:row r="128" ht="22" customHeight="1">
      <x:c r="A128" s="92" t="n">
        <x:v>43284</x:v>
      </x:c>
      <x:c r="B128" s="21" t="n">
        <x:v>2018</x:v>
      </x:c>
      <x:c r="C128" s="14">
        <x:v>5051</x:v>
      </x:c>
      <x:c r="D128" s="14">
        <x:v>26</x:v>
      </x:c>
      <x:c r="E128" s="14">
        <x:v>13</x:v>
      </x:c>
      <x:c r="F128" s="14">
        <x:v>3</x:v>
      </x:c>
      <x:c r="G128" s="14">
        <x:v>1</x:v>
      </x:c>
      <x:c r="H128" s="14">
        <x:v>102</x:v>
      </x:c>
      <x:c r="I128" s="14">
        <x:v>11</x:v>
      </x:c>
      <x:c r="J128" s="13" t="inlineStr">
        <x:is>
          <x:t xml:space="preserve">19/44</x:t>
        </x:is>
      </x:c>
      <x:c r="K128" s="1"/>
      <x:c r="L128" s="1"/>
    </x:row>
    <x:row r="129" ht="22" customHeight="1">
      <x:c r="A129" s="93" t="n">
        <x:v>43285</x:v>
      </x:c>
      <x:c r="B129" s="24" t="n">
        <x:v>2018</x:v>
      </x:c>
      <x:c r="C129" s="16">
        <x:v>4299</x:v>
      </x:c>
      <x:c r="D129" s="16">
        <x:v>14</x:v>
      </x:c>
      <x:c r="E129" s="16">
        <x:v>2</x:v>
      </x:c>
      <x:c r="F129" s="16">
        <x:v>5</x:v>
      </x:c>
      <x:c r="G129" s="16">
        <x:v>0</x:v>
      </x:c>
      <x:c r="H129" s="16">
        <x:v>83</x:v>
      </x:c>
      <x:c r="I129" s="16">
        <x:v>10</x:v>
      </x:c>
      <x:c r="J129" s="15" t="inlineStr">
        <x:is>
          <x:t xml:space="preserve">19/45</x:t>
        </x:is>
      </x:c>
      <x:c r="K129" s="1"/>
      <x:c r="L129" s="1"/>
    </x:row>
    <x:row r="130" ht="22" customHeight="1">
      <x:c r="A130" s="92" t="n">
        <x:v>43286</x:v>
      </x:c>
      <x:c r="B130" s="21" t="n">
        <x:v>2018</x:v>
      </x:c>
      <x:c r="C130" s="14">
        <x:v>5142</x:v>
      </x:c>
      <x:c r="D130" s="14">
        <x:v>209</x:v>
      </x:c>
      <x:c r="E130" s="14">
        <x:v>62</x:v>
      </x:c>
      <x:c r="F130" s="14">
        <x:v>36</x:v>
      </x:c>
      <x:c r="G130" s="14">
        <x:v>1</x:v>
      </x:c>
      <x:c r="H130" s="14">
        <x:v>104</x:v>
      </x:c>
      <x:c r="I130" s="14">
        <x:v>20</x:v>
      </x:c>
      <x:c r="J130" s="13" t="inlineStr">
        <x:is>
          <x:t xml:space="preserve">19/46</x:t>
        </x:is>
      </x:c>
      <x:c r="K130" s="1"/>
      <x:c r="L130" s="1"/>
    </x:row>
    <x:row r="131" ht="22" customHeight="1">
      <x:c r="A131" s="93" t="n">
        <x:v>43354</x:v>
      </x:c>
      <x:c r="B131" s="24" t="n">
        <x:v>2018</x:v>
      </x:c>
      <x:c r="C131" s="16">
        <x:v>3736</x:v>
      </x:c>
      <x:c r="D131" s="16">
        <x:v>239</x:v>
      </x:c>
      <x:c r="E131" s="16">
        <x:v>70</x:v>
      </x:c>
      <x:c r="F131" s="16">
        <x:v>47</x:v>
      </x:c>
      <x:c r="G131" s="16">
        <x:v>3</x:v>
      </x:c>
      <x:c r="H131" s="16">
        <x:v>71</x:v>
      </x:c>
      <x:c r="I131" s="16">
        <x:v>29</x:v>
      </x:c>
      <x:c r="J131" s="15" t="inlineStr">
        <x:is>
          <x:t xml:space="preserve">19/47</x:t>
        </x:is>
      </x:c>
      <x:c r="K131" s="1"/>
      <x:c r="L131" s="1"/>
    </x:row>
    <x:row r="132" ht="22" customHeight="1">
      <x:c r="A132" s="92" t="n">
        <x:v>43355</x:v>
      </x:c>
      <x:c r="B132" s="21" t="n">
        <x:v>2018</x:v>
      </x:c>
      <x:c r="C132" s="14">
        <x:v>4245</x:v>
      </x:c>
      <x:c r="D132" s="14">
        <x:v>11</x:v>
      </x:c>
      <x:c r="E132" s="14">
        <x:v>1</x:v>
      </x:c>
      <x:c r="F132" s="14">
        <x:v>7</x:v>
      </x:c>
      <x:c r="G132" s="14">
        <x:v>0</x:v>
      </x:c>
      <x:c r="H132" s="14">
        <x:v>78</x:v>
      </x:c>
      <x:c r="I132" s="14">
        <x:v>9</x:v>
      </x:c>
      <x:c r="J132" s="13" t="inlineStr">
        <x:is>
          <x:t xml:space="preserve">19/48</x:t>
        </x:is>
      </x:c>
      <x:c r="K132" s="1"/>
      <x:c r="L132" s="1"/>
    </x:row>
    <x:row r="133" ht="22" customHeight="1">
      <x:c r="A133" s="93" t="n">
        <x:v>43356</x:v>
      </x:c>
      <x:c r="B133" s="24" t="n">
        <x:v>2018</x:v>
      </x:c>
      <x:c r="C133" s="16">
        <x:v>4168</x:v>
      </x:c>
      <x:c r="D133" s="16">
        <x:v>7</x:v>
      </x:c>
      <x:c r="E133" s="16">
        <x:v>2</x:v>
      </x:c>
      <x:c r="F133" s="16">
        <x:v>2</x:v>
      </x:c>
      <x:c r="G133" s="16">
        <x:v>0</x:v>
      </x:c>
      <x:c r="H133" s="16">
        <x:v>91</x:v>
      </x:c>
      <x:c r="I133" s="16">
        <x:v>4</x:v>
      </x:c>
      <x:c r="J133" s="15" t="inlineStr">
        <x:is>
          <x:t xml:space="preserve">19/49</x:t>
        </x:is>
      </x:c>
      <x:c r="K133" s="1"/>
      <x:c r="L133" s="1"/>
    </x:row>
    <x:row r="134" ht="22" customHeight="1">
      <x:c r="A134" s="92" t="n">
        <x:v>43357</x:v>
      </x:c>
      <x:c r="B134" s="21" t="n">
        <x:v>2018</x:v>
      </x:c>
      <x:c r="C134" s="14">
        <x:v>2610</x:v>
      </x:c>
      <x:c r="D134" s="14">
        <x:v>0</x:v>
      </x:c>
      <x:c r="E134" s="14">
        <x:v>0</x:v>
      </x:c>
      <x:c r="F134" s="14">
        <x:v>0</x:v>
      </x:c>
      <x:c r="G134" s="14">
        <x:v>0</x:v>
      </x:c>
      <x:c r="H134" s="14">
        <x:v>48</x:v>
      </x:c>
      <x:c r="I134" s="14">
        <x:v>0</x:v>
      </x:c>
      <x:c r="J134" s="13"/>
      <x:c r="K134" s="1"/>
      <x:c r="L134" s="1"/>
    </x:row>
    <x:row r="135" ht="22" customHeight="1">
      <x:c r="A135" s="93" t="n">
        <x:v>43369</x:v>
      </x:c>
      <x:c r="B135" s="24" t="n">
        <x:v>2018</x:v>
      </x:c>
      <x:c r="C135" s="16">
        <x:v>1152</x:v>
      </x:c>
      <x:c r="D135" s="16">
        <x:v>0</x:v>
      </x:c>
      <x:c r="E135" s="16">
        <x:v>0</x:v>
      </x:c>
      <x:c r="F135" s="16">
        <x:v>0</x:v>
      </x:c>
      <x:c r="G135" s="16">
        <x:v>0</x:v>
      </x:c>
      <x:c r="H135" s="16">
        <x:v>67</x:v>
      </x:c>
      <x:c r="I135" s="16">
        <x:v>0</x:v>
      </x:c>
      <x:c r="J135" s="15"/>
      <x:c r="K135" s="1"/>
      <x:c r="L135" s="1"/>
    </x:row>
    <x:row r="136" ht="22" customHeight="1">
      <x:c r="A136" s="92" t="n">
        <x:v>43370</x:v>
      </x:c>
      <x:c r="B136" s="21" t="n">
        <x:v>2018</x:v>
      </x:c>
      <x:c r="C136" s="14">
        <x:v>7356</x:v>
      </x:c>
      <x:c r="D136" s="14">
        <x:v>14</x:v>
      </x:c>
      <x:c r="E136" s="14">
        <x:v>2</x:v>
      </x:c>
      <x:c r="F136" s="14">
        <x:v>4</x:v>
      </x:c>
      <x:c r="G136" s="14">
        <x:v>0</x:v>
      </x:c>
      <x:c r="H136" s="14">
        <x:v>189</x:v>
      </x:c>
      <x:c r="I136" s="14">
        <x:v>8</x:v>
      </x:c>
      <x:c r="J136" s="13" t="inlineStr">
        <x:is>
          <x:t xml:space="preserve">19/52</x:t>
        </x:is>
      </x:c>
      <x:c r="K136" s="1"/>
      <x:c r="L136" s="1"/>
    </x:row>
    <x:row r="137" ht="22" customHeight="1">
      <x:c r="A137" s="93" t="n">
        <x:v>43371</x:v>
      </x:c>
      <x:c r="B137" s="24" t="n">
        <x:v>2018</x:v>
      </x:c>
      <x:c r="C137" s="16">
        <x:v>4496</x:v>
      </x:c>
      <x:c r="D137" s="16">
        <x:v>4</x:v>
      </x:c>
      <x:c r="E137" s="16">
        <x:v>0</x:v>
      </x:c>
      <x:c r="F137" s="16">
        <x:v>1</x:v>
      </x:c>
      <x:c r="G137" s="16">
        <x:v>0</x:v>
      </x:c>
      <x:c r="H137" s="16">
        <x:v>109</x:v>
      </x:c>
      <x:c r="I137" s="16">
        <x:v>4</x:v>
      </x:c>
      <x:c r="J137" s="15" t="inlineStr">
        <x:is>
          <x:t xml:space="preserve">19/53</x:t>
        </x:is>
      </x:c>
      <x:c r="K137" s="1"/>
      <x:c r="L137" s="1"/>
    </x:row>
    <x:row r="138" ht="22" customHeight="1">
      <x:c r="A138" s="92" t="n">
        <x:v>43383</x:v>
      </x:c>
      <x:c r="B138" s="21" t="n">
        <x:v>2018</x:v>
      </x:c>
      <x:c r="C138" s="14">
        <x:v>1066</x:v>
      </x:c>
      <x:c r="D138" s="14">
        <x:v>5</x:v>
      </x:c>
      <x:c r="E138" s="14">
        <x:v>1</x:v>
      </x:c>
      <x:c r="F138" s="14">
        <x:v>2</x:v>
      </x:c>
      <x:c r="G138" s="14">
        <x:v>0</x:v>
      </x:c>
      <x:c r="H138" s="14">
        <x:v>71</x:v>
      </x:c>
      <x:c r="I138" s="14">
        <x:v>5</x:v>
      </x:c>
      <x:c r="J138" s="13" t="inlineStr">
        <x:is>
          <x:t xml:space="preserve">19/54</x:t>
        </x:is>
      </x:c>
      <x:c r="K138" s="1"/>
      <x:c r="L138" s="1"/>
    </x:row>
    <x:row r="139" ht="22" customHeight="1">
      <x:c r="A139" s="93" t="n">
        <x:v>43384</x:v>
      </x:c>
      <x:c r="B139" s="24" t="n">
        <x:v>2018</x:v>
      </x:c>
      <x:c r="C139" s="16">
        <x:v>6204</x:v>
      </x:c>
      <x:c r="D139" s="16">
        <x:v>5</x:v>
      </x:c>
      <x:c r="E139" s="16">
        <x:v>1</x:v>
      </x:c>
      <x:c r="F139" s="16">
        <x:v>1</x:v>
      </x:c>
      <x:c r="G139" s="16">
        <x:v>0</x:v>
      </x:c>
      <x:c r="H139" s="16">
        <x:v>160</x:v>
      </x:c>
      <x:c r="I139" s="16">
        <x:v>5</x:v>
      </x:c>
      <x:c r="J139" s="15" t="inlineStr">
        <x:is>
          <x:t xml:space="preserve">19/55</x:t>
        </x:is>
      </x:c>
      <x:c r="K139" s="1"/>
      <x:c r="L139" s="1"/>
    </x:row>
    <x:row r="140" ht="22" customHeight="1">
      <x:c r="A140" s="92" t="n">
        <x:v>43385</x:v>
      </x:c>
      <x:c r="B140" s="21" t="n">
        <x:v>2018</x:v>
      </x:c>
      <x:c r="C140" s="14">
        <x:v>3571</x:v>
      </x:c>
      <x:c r="D140" s="14">
        <x:v>56</x:v>
      </x:c>
      <x:c r="E140" s="14">
        <x:v>1</x:v>
      </x:c>
      <x:c r="F140" s="14">
        <x:v>5</x:v>
      </x:c>
      <x:c r="G140" s="14">
        <x:v>2</x:v>
      </x:c>
      <x:c r="H140" s="14">
        <x:v>94</x:v>
      </x:c>
      <x:c r="I140" s="14">
        <x:v>11</x:v>
      </x:c>
      <x:c r="J140" s="13" t="inlineStr">
        <x:is>
          <x:t xml:space="preserve">19/56</x:t>
        </x:is>
      </x:c>
      <x:c r="K140" s="1"/>
      <x:c r="L140" s="1"/>
    </x:row>
    <x:row r="141" ht="22" customHeight="1">
      <x:c r="A141" s="93" t="n">
        <x:v>43390</x:v>
      </x:c>
      <x:c r="B141" s="24" t="n">
        <x:v>2018</x:v>
      </x:c>
      <x:c r="C141" s="16">
        <x:v>1510</x:v>
      </x:c>
      <x:c r="D141" s="16">
        <x:v>8</x:v>
      </x:c>
      <x:c r="E141" s="16">
        <x:v>2</x:v>
      </x:c>
      <x:c r="F141" s="16">
        <x:v>2</x:v>
      </x:c>
      <x:c r="G141" s="16">
        <x:v>0</x:v>
      </x:c>
      <x:c r="H141" s="16">
        <x:v>74</x:v>
      </x:c>
      <x:c r="I141" s="16">
        <x:v>5</x:v>
      </x:c>
      <x:c r="J141" s="15" t="inlineStr">
        <x:is>
          <x:t xml:space="preserve">19/57</x:t>
        </x:is>
      </x:c>
      <x:c r="K141" s="1"/>
      <x:c r="L141" s="1"/>
    </x:row>
    <x:row r="142" ht="22" customHeight="1">
      <x:c r="A142" s="92" t="n">
        <x:v>43391</x:v>
      </x:c>
      <x:c r="B142" s="21" t="n">
        <x:v>2018</x:v>
      </x:c>
      <x:c r="C142" s="14">
        <x:v>7494</x:v>
      </x:c>
      <x:c r="D142" s="14">
        <x:v>27</x:v>
      </x:c>
      <x:c r="E142" s="14">
        <x:v>2</x:v>
      </x:c>
      <x:c r="F142" s="14">
        <x:v>3</x:v>
      </x:c>
      <x:c r="G142" s="14">
        <x:v>1</x:v>
      </x:c>
      <x:c r="H142" s="14">
        <x:v>195</x:v>
      </x:c>
      <x:c r="I142" s="14">
        <x:v>18</x:v>
      </x:c>
      <x:c r="J142" s="13" t="inlineStr">
        <x:is>
          <x:t xml:space="preserve">19/58</x:t>
        </x:is>
      </x:c>
      <x:c r="K142" s="1"/>
      <x:c r="L142" s="1"/>
    </x:row>
    <x:row r="143" ht="22" customHeight="1">
      <x:c r="A143" s="93" t="n">
        <x:v>43392</x:v>
      </x:c>
      <x:c r="B143" s="24" t="n">
        <x:v>2018</x:v>
      </x:c>
      <x:c r="C143" s="16">
        <x:v>3352</x:v>
      </x:c>
      <x:c r="D143" s="16">
        <x:v>0</x:v>
      </x:c>
      <x:c r="E143" s="16">
        <x:v>0</x:v>
      </x:c>
      <x:c r="F143" s="16">
        <x:v>0</x:v>
      </x:c>
      <x:c r="G143" s="16">
        <x:v>0</x:v>
      </x:c>
      <x:c r="H143" s="16">
        <x:v>78</x:v>
      </x:c>
      <x:c r="I143" s="16">
        <x:v>0</x:v>
      </x:c>
      <x:c r="J143" s="15"/>
      <x:c r="K143" s="1"/>
      <x:c r="L143" s="1"/>
    </x:row>
    <x:row r="144" ht="22" customHeight="1">
      <x:c r="A144" s="92" t="n">
        <x:v>43411</x:v>
      </x:c>
      <x:c r="B144" s="21" t="n">
        <x:v>2018</x:v>
      </x:c>
      <x:c r="C144" s="14">
        <x:v>2124</x:v>
      </x:c>
      <x:c r="D144" s="14">
        <x:v>13</x:v>
      </x:c>
      <x:c r="E144" s="14">
        <x:v>2</x:v>
      </x:c>
      <x:c r="F144" s="14">
        <x:v>3</x:v>
      </x:c>
      <x:c r="G144" s="14">
        <x:v>1</x:v>
      </x:c>
      <x:c r="H144" s="14">
        <x:v>87</x:v>
      </x:c>
      <x:c r="I144" s="14">
        <x:v>8</x:v>
      </x:c>
      <x:c r="J144" s="13" t="inlineStr">
        <x:is>
          <x:t xml:space="preserve">19/60</x:t>
        </x:is>
      </x:c>
      <x:c r="K144" s="1"/>
      <x:c r="L144" s="1"/>
    </x:row>
    <x:row r="145" ht="22" customHeight="1">
      <x:c r="A145" s="93" t="n">
        <x:v>43412</x:v>
      </x:c>
      <x:c r="B145" s="24" t="n">
        <x:v>2018</x:v>
      </x:c>
      <x:c r="C145" s="16">
        <x:v>7825</x:v>
      </x:c>
      <x:c r="D145" s="16">
        <x:v>3</x:v>
      </x:c>
      <x:c r="E145" s="16">
        <x:v>0</x:v>
      </x:c>
      <x:c r="F145" s="16">
        <x:v>0</x:v>
      </x:c>
      <x:c r="G145" s="16">
        <x:v>1</x:v>
      </x:c>
      <x:c r="H145" s="16">
        <x:v>200</x:v>
      </x:c>
      <x:c r="I145" s="16">
        <x:v>3</x:v>
      </x:c>
      <x:c r="J145" s="15" t="inlineStr">
        <x:is>
          <x:t xml:space="preserve">19/61</x:t>
        </x:is>
      </x:c>
      <x:c r="K145" s="1"/>
      <x:c r="L145" s="1"/>
    </x:row>
    <x:row r="146" ht="22" customHeight="1">
      <x:c r="A146" s="92" t="n">
        <x:v>43413</x:v>
      </x:c>
      <x:c r="B146" s="21" t="n">
        <x:v>2018</x:v>
      </x:c>
      <x:c r="C146" s="14">
        <x:v>3727</x:v>
      </x:c>
      <x:c r="D146" s="14">
        <x:v>57</x:v>
      </x:c>
      <x:c r="E146" s="14">
        <x:v>14</x:v>
      </x:c>
      <x:c r="F146" s="14">
        <x:v>7</x:v>
      </x:c>
      <x:c r="G146" s="14">
        <x:v>0</x:v>
      </x:c>
      <x:c r="H146" s="14">
        <x:v>96</x:v>
      </x:c>
      <x:c r="I146" s="14">
        <x:v>10</x:v>
      </x:c>
      <x:c r="J146" s="13" t="inlineStr">
        <x:is>
          <x:t xml:space="preserve">19/62</x:t>
        </x:is>
      </x:c>
      <x:c r="K146" s="1"/>
      <x:c r="L146" s="1"/>
    </x:row>
    <x:row r="147" ht="22" customHeight="1">
      <x:c r="A147" s="93" t="n">
        <x:v>43424</x:v>
      </x:c>
      <x:c r="B147" s="24" t="n">
        <x:v>2018</x:v>
      </x:c>
      <x:c r="C147" s="16">
        <x:v>4204</x:v>
      </x:c>
      <x:c r="D147" s="16">
        <x:v>230</x:v>
      </x:c>
      <x:c r="E147" s="16">
        <x:v>90</x:v>
      </x:c>
      <x:c r="F147" s="16">
        <x:v>32</x:v>
      </x:c>
      <x:c r="G147" s="16">
        <x:v>4</x:v>
      </x:c>
      <x:c r="H147" s="16">
        <x:v>88</x:v>
      </x:c>
      <x:c r="I147" s="16">
        <x:v>21</x:v>
      </x:c>
      <x:c r="J147" s="15" t="inlineStr">
        <x:is>
          <x:t xml:space="preserve">19/63</x:t>
        </x:is>
      </x:c>
      <x:c r="K147" s="1"/>
      <x:c r="L147" s="1"/>
    </x:row>
    <x:row r="148" ht="22" customHeight="1">
      <x:c r="A148" s="92" t="n">
        <x:v>43425</x:v>
      </x:c>
      <x:c r="B148" s="21" t="n">
        <x:v>2018</x:v>
      </x:c>
      <x:c r="C148" s="14">
        <x:v>4172</x:v>
      </x:c>
      <x:c r="D148" s="14">
        <x:v>12</x:v>
      </x:c>
      <x:c r="E148" s="14">
        <x:v>3</x:v>
      </x:c>
      <x:c r="F148" s="14">
        <x:v>2</x:v>
      </x:c>
      <x:c r="G148" s="14">
        <x:v>1</x:v>
      </x:c>
      <x:c r="H148" s="14">
        <x:v>77</x:v>
      </x:c>
      <x:c r="I148" s="14">
        <x:v>8</x:v>
      </x:c>
      <x:c r="J148" s="13" t="inlineStr">
        <x:is>
          <x:t xml:space="preserve">19/64</x:t>
        </x:is>
      </x:c>
      <x:c r="K148" s="1"/>
      <x:c r="L148" s="1"/>
    </x:row>
    <x:row r="149" ht="22" customHeight="1">
      <x:c r="A149" s="93" t="n">
        <x:v>43426</x:v>
      </x:c>
      <x:c r="B149" s="24" t="n">
        <x:v>2018</x:v>
      </x:c>
      <x:c r="C149" s="16">
        <x:v>4494</x:v>
      </x:c>
      <x:c r="D149" s="16">
        <x:v>1</x:v>
      </x:c>
      <x:c r="E149" s="16">
        <x:v>0</x:v>
      </x:c>
      <x:c r="F149" s="16">
        <x:v>0</x:v>
      </x:c>
      <x:c r="G149" s="16">
        <x:v>0</x:v>
      </x:c>
      <x:c r="H149" s="16">
        <x:v>93</x:v>
      </x:c>
      <x:c r="I149" s="16">
        <x:v>1</x:v>
      </x:c>
      <x:c r="J149" s="15" t="inlineStr">
        <x:is>
          <x:t xml:space="preserve">19/65</x:t>
        </x:is>
      </x:c>
      <x:c r="K149" s="1"/>
      <x:c r="L149" s="1"/>
    </x:row>
    <x:row r="150" ht="22" customHeight="1">
      <x:c r="A150" s="92" t="n">
        <x:v>43427</x:v>
      </x:c>
      <x:c r="B150" s="21" t="n">
        <x:v>2018</x:v>
      </x:c>
      <x:c r="C150" s="14">
        <x:v>1624</x:v>
      </x:c>
      <x:c r="D150" s="14">
        <x:v>1</x:v>
      </x:c>
      <x:c r="E150" s="14">
        <x:v>0</x:v>
      </x:c>
      <x:c r="F150" s="14">
        <x:v>1</x:v>
      </x:c>
      <x:c r="G150" s="14">
        <x:v>0</x:v>
      </x:c>
      <x:c r="H150" s="14">
        <x:v>34</x:v>
      </x:c>
      <x:c r="I150" s="14">
        <x:v>1</x:v>
      </x:c>
      <x:c r="J150" s="13" t="inlineStr">
        <x:is>
          <x:t xml:space="preserve">19/66</x:t>
        </x:is>
      </x:c>
      <x:c r="K150" s="1"/>
      <x:c r="L150" s="1"/>
    </x:row>
    <x:row r="151" ht="22" customHeight="1">
      <x:c r="A151" s="93" t="n">
        <x:v>43432</x:v>
      </x:c>
      <x:c r="B151" s="24" t="n">
        <x:v>2018</x:v>
      </x:c>
      <x:c r="C151" s="16">
        <x:v>2775</x:v>
      </x:c>
      <x:c r="D151" s="16">
        <x:v>31</x:v>
      </x:c>
      <x:c r="E151" s="16">
        <x:v>3</x:v>
      </x:c>
      <x:c r="F151" s="16">
        <x:v>5</x:v>
      </x:c>
      <x:c r="G151" s="16">
        <x:v>0</x:v>
      </x:c>
      <x:c r="H151" s="16">
        <x:v>120</x:v>
      </x:c>
      <x:c r="I151" s="16">
        <x:v>4</x:v>
      </x:c>
      <x:c r="J151" s="15" t="inlineStr">
        <x:is>
          <x:t xml:space="preserve">19/67</x:t>
        </x:is>
      </x:c>
      <x:c r="K151" s="1"/>
      <x:c r="L151" s="1"/>
    </x:row>
    <x:row r="152" ht="22" customHeight="1">
      <x:c r="A152" s="92" t="n">
        <x:v>43433</x:v>
      </x:c>
      <x:c r="B152" s="21" t="n">
        <x:v>2018</x:v>
      </x:c>
      <x:c r="C152" s="14">
        <x:v>7625</x:v>
      </x:c>
      <x:c r="D152" s="14">
        <x:v>188</x:v>
      </x:c>
      <x:c r="E152" s="14">
        <x:v>110</x:v>
      </x:c>
      <x:c r="F152" s="14">
        <x:v>21</x:v>
      </x:c>
      <x:c r="G152" s="14">
        <x:v>0</x:v>
      </x:c>
      <x:c r="H152" s="14">
        <x:v>216</x:v>
      </x:c>
      <x:c r="I152" s="14">
        <x:v>37</x:v>
      </x:c>
      <x:c r="J152" s="13" t="inlineStr">
        <x:is>
          <x:t xml:space="preserve">19/68</x:t>
        </x:is>
      </x:c>
      <x:c r="K152" s="1"/>
      <x:c r="L152" s="1"/>
    </x:row>
    <x:row r="153" ht="22" customHeight="1">
      <x:c r="A153" s="93" t="n">
        <x:v>43434</x:v>
      </x:c>
      <x:c r="B153" s="24" t="n">
        <x:v>2018</x:v>
      </x:c>
      <x:c r="C153" s="16">
        <x:v>4240</x:v>
      </x:c>
      <x:c r="D153" s="16">
        <x:v>24</x:v>
      </x:c>
      <x:c r="E153" s="16">
        <x:v>2</x:v>
      </x:c>
      <x:c r="F153" s="16">
        <x:v>3</x:v>
      </x:c>
      <x:c r="G153" s="16">
        <x:v>1</x:v>
      </x:c>
      <x:c r="H153" s="16">
        <x:v>103</x:v>
      </x:c>
      <x:c r="I153" s="16">
        <x:v>12</x:v>
      </x:c>
      <x:c r="J153" s="15" t="inlineStr">
        <x:is>
          <x:t xml:space="preserve">19/69</x:t>
        </x:is>
      </x:c>
      <x:c r="K153" s="1"/>
      <x:c r="L153" s="1"/>
    </x:row>
    <x:row r="154" ht="22" customHeight="1">
      <x:c r="A154" s="92" t="n">
        <x:v>43446</x:v>
      </x:c>
      <x:c r="B154" s="21" t="n">
        <x:v>2018</x:v>
      </x:c>
      <x:c r="C154" s="14">
        <x:v>563</x:v>
      </x:c>
      <x:c r="D154" s="14">
        <x:v>3</x:v>
      </x:c>
      <x:c r="E154" s="14">
        <x:v>0</x:v>
      </x:c>
      <x:c r="F154" s="14">
        <x:v>0</x:v>
      </x:c>
      <x:c r="G154" s="14">
        <x:v>0</x:v>
      </x:c>
      <x:c r="H154" s="14">
        <x:v>87</x:v>
      </x:c>
      <x:c r="I154" s="14">
        <x:v>2</x:v>
      </x:c>
      <x:c r="J154" s="13" t="inlineStr">
        <x:is>
          <x:t xml:space="preserve">19/70</x:t>
        </x:is>
      </x:c>
      <x:c r="K154" s="1"/>
      <x:c r="L154" s="1"/>
    </x:row>
    <x:row r="155" ht="22" customHeight="1">
      <x:c r="A155" s="93" t="n">
        <x:v>43447</x:v>
      </x:c>
      <x:c r="B155" s="24" t="n">
        <x:v>2018</x:v>
      </x:c>
      <x:c r="C155" s="16">
        <x:v>6895</x:v>
      </x:c>
      <x:c r="D155" s="16">
        <x:v>6</x:v>
      </x:c>
      <x:c r="E155" s="16">
        <x:v>1</x:v>
      </x:c>
      <x:c r="F155" s="16">
        <x:v>3</x:v>
      </x:c>
      <x:c r="G155" s="16">
        <x:v>0</x:v>
      </x:c>
      <x:c r="H155" s="16">
        <x:v>160</x:v>
      </x:c>
      <x:c r="I155" s="16">
        <x:v>5</x:v>
      </x:c>
      <x:c r="J155" s="15" t="inlineStr">
        <x:is>
          <x:t xml:space="preserve">19/71</x:t>
        </x:is>
      </x:c>
      <x:c r="K155" s="1"/>
      <x:c r="L155" s="1"/>
    </x:row>
    <x:row r="156" ht="22" customHeight="1">
      <x:c r="A156" s="92" t="n">
        <x:v>43448</x:v>
      </x:c>
      <x:c r="B156" s="21" t="n">
        <x:v>2018</x:v>
      </x:c>
      <x:c r="C156" s="14">
        <x:v>3067</x:v>
      </x:c>
      <x:c r="D156" s="14">
        <x:v>1</x:v>
      </x:c>
      <x:c r="E156" s="14">
        <x:v>0</x:v>
      </x:c>
      <x:c r="F156" s="14">
        <x:v>0</x:v>
      </x:c>
      <x:c r="G156" s="14">
        <x:v>0</x:v>
      </x:c>
      <x:c r="H156" s="14">
        <x:v>66</x:v>
      </x:c>
      <x:c r="I156" s="14">
        <x:v>1</x:v>
      </x:c>
      <x:c r="J156" s="13" t="inlineStr">
        <x:is>
          <x:t xml:space="preserve">19/72</x:t>
        </x:is>
      </x:c>
      <x:c r="K156" s="1"/>
      <x:c r="L156" s="1"/>
    </x:row>
    <x:row r="157" ht="22" customHeight="1">
      <x:c r="A157" s="93" t="n">
        <x:v>43481</x:v>
      </x:c>
      <x:c r="B157" s="24" t="n">
        <x:v>2019</x:v>
      </x:c>
      <x:c r="C157" s="16">
        <x:v>490</x:v>
      </x:c>
      <x:c r="D157" s="16">
        <x:v>0</x:v>
      </x:c>
      <x:c r="E157" s="16">
        <x:v>0</x:v>
      </x:c>
      <x:c r="F157" s="16">
        <x:v>0</x:v>
      </x:c>
      <x:c r="G157" s="16">
        <x:v>0</x:v>
      </x:c>
      <x:c r="H157" s="16">
        <x:v>56</x:v>
      </x:c>
      <x:c r="I157" s="16">
        <x:v>0</x:v>
      </x:c>
      <x:c r="J157" s="15"/>
      <x:c r="K157" s="1"/>
      <x:c r="L157" s="1"/>
    </x:row>
    <x:row r="158" ht="22" customHeight="1">
      <x:c r="A158" s="92" t="n">
        <x:v>43482</x:v>
      </x:c>
      <x:c r="B158" s="21" t="n">
        <x:v>2019</x:v>
      </x:c>
      <x:c r="C158" s="14">
        <x:v>6582</x:v>
      </x:c>
      <x:c r="D158" s="14">
        <x:v>180</x:v>
      </x:c>
      <x:c r="E158" s="14">
        <x:v>19</x:v>
      </x:c>
      <x:c r="F158" s="14">
        <x:v>6</x:v>
      </x:c>
      <x:c r="G158" s="14">
        <x:v>0</x:v>
      </x:c>
      <x:c r="H158" s="14">
        <x:v>166</x:v>
      </x:c>
      <x:c r="I158" s="14">
        <x:v>22</x:v>
      </x:c>
      <x:c r="J158" s="13" t="inlineStr">
        <x:is>
          <x:t xml:space="preserve">19/74</x:t>
        </x:is>
      </x:c>
      <x:c r="K158" s="1"/>
      <x:c r="L158" s="1"/>
    </x:row>
    <x:row r="159" ht="22" customHeight="1">
      <x:c r="A159" s="93" t="n">
        <x:v>43483</x:v>
      </x:c>
      <x:c r="B159" s="24" t="n">
        <x:v>2019</x:v>
      </x:c>
      <x:c r="C159" s="16">
        <x:v>3206</x:v>
      </x:c>
      <x:c r="D159" s="16">
        <x:v>87</x:v>
      </x:c>
      <x:c r="E159" s="16">
        <x:v>23</x:v>
      </x:c>
      <x:c r="F159" s="16">
        <x:v>11</x:v>
      </x:c>
      <x:c r="G159" s="16">
        <x:v>1</x:v>
      </x:c>
      <x:c r="H159" s="16">
        <x:v>72</x:v>
      </x:c>
      <x:c r="I159" s="16">
        <x:v>20</x:v>
      </x:c>
      <x:c r="J159" s="15" t="inlineStr">
        <x:is>
          <x:t xml:space="preserve">19/75</x:t>
        </x:is>
      </x:c>
      <x:c r="K159" s="1"/>
      <x:c r="L159" s="1"/>
    </x:row>
    <x:row r="160" ht="22" customHeight="1">
      <x:c r="A160" s="92" t="n">
        <x:v>43495</x:v>
      </x:c>
      <x:c r="B160" s="21" t="n">
        <x:v>2019</x:v>
      </x:c>
      <x:c r="C160" s="14">
        <x:v>1000</x:v>
      </x:c>
      <x:c r="D160" s="14">
        <x:v>6</x:v>
      </x:c>
      <x:c r="E160" s="14">
        <x:v>0</x:v>
      </x:c>
      <x:c r="F160" s="14">
        <x:v>1</x:v>
      </x:c>
      <x:c r="G160" s="14">
        <x:v>2</x:v>
      </x:c>
      <x:c r="H160" s="14">
        <x:v>83</x:v>
      </x:c>
      <x:c r="I160" s="14">
        <x:v>4</x:v>
      </x:c>
      <x:c r="J160" s="13" t="inlineStr">
        <x:is>
          <x:t xml:space="preserve">19/76</x:t>
        </x:is>
      </x:c>
      <x:c r="K160" s="1"/>
      <x:c r="L160" s="1"/>
    </x:row>
    <x:row r="161" ht="22" customHeight="1">
      <x:c r="A161" s="93" t="n">
        <x:v>43496</x:v>
      </x:c>
      <x:c r="B161" s="24" t="n">
        <x:v>2019</x:v>
      </x:c>
      <x:c r="C161" s="16">
        <x:v>6139</x:v>
      </x:c>
      <x:c r="D161" s="16">
        <x:v>16</x:v>
      </x:c>
      <x:c r="E161" s="16">
        <x:v>3</x:v>
      </x:c>
      <x:c r="F161" s="16">
        <x:v>2</x:v>
      </x:c>
      <x:c r="G161" s="16">
        <x:v>0</x:v>
      </x:c>
      <x:c r="H161" s="16">
        <x:v>148</x:v>
      </x:c>
      <x:c r="I161" s="16">
        <x:v>12</x:v>
      </x:c>
      <x:c r="J161" s="15" t="inlineStr">
        <x:is>
          <x:t xml:space="preserve">19/77</x:t>
        </x:is>
      </x:c>
      <x:c r="K161" s="1"/>
      <x:c r="L161" s="1"/>
    </x:row>
    <x:row r="162" ht="22" customHeight="1">
      <x:c r="A162" s="92" t="n">
        <x:v>43497</x:v>
      </x:c>
      <x:c r="B162" s="21" t="n">
        <x:v>2019</x:v>
      </x:c>
      <x:c r="C162" s="14">
        <x:v>3655</x:v>
      </x:c>
      <x:c r="D162" s="14">
        <x:v>5</x:v>
      </x:c>
      <x:c r="E162" s="14">
        <x:v>0</x:v>
      </x:c>
      <x:c r="F162" s="14">
        <x:v>0</x:v>
      </x:c>
      <x:c r="G162" s="14">
        <x:v>0</x:v>
      </x:c>
      <x:c r="H162" s="14">
        <x:v>85</x:v>
      </x:c>
      <x:c r="I162" s="14">
        <x:v>5</x:v>
      </x:c>
      <x:c r="J162" s="13" t="inlineStr">
        <x:is>
          <x:t xml:space="preserve">19/78</x:t>
        </x:is>
      </x:c>
      <x:c r="K162" s="1"/>
      <x:c r="L162" s="1"/>
    </x:row>
    <x:row r="163" ht="22" customHeight="1">
      <x:c r="A163" s="93" t="n">
        <x:v>43509</x:v>
      </x:c>
      <x:c r="B163" s="24" t="n">
        <x:v>2019</x:v>
      </x:c>
      <x:c r="C163" s="16">
        <x:v>1130</x:v>
      </x:c>
      <x:c r="D163" s="16">
        <x:v>0</x:v>
      </x:c>
      <x:c r="E163" s="16">
        <x:v>0</x:v>
      </x:c>
      <x:c r="F163" s="16">
        <x:v>0</x:v>
      </x:c>
      <x:c r="G163" s="16">
        <x:v>0</x:v>
      </x:c>
      <x:c r="H163" s="16">
        <x:v>66</x:v>
      </x:c>
      <x:c r="I163" s="16">
        <x:v>0</x:v>
      </x:c>
      <x:c r="J163" s="15"/>
      <x:c r="K163" s="1"/>
      <x:c r="L163" s="1"/>
    </x:row>
    <x:row r="164" ht="22" customHeight="1">
      <x:c r="A164" s="92" t="n">
        <x:v>43510</x:v>
      </x:c>
      <x:c r="B164" s="21" t="n">
        <x:v>2019</x:v>
      </x:c>
      <x:c r="C164" s="14">
        <x:v>6384</x:v>
      </x:c>
      <x:c r="D164" s="14">
        <x:v>107</x:v>
      </x:c>
      <x:c r="E164" s="14">
        <x:v>73</x:v>
      </x:c>
      <x:c r="F164" s="14">
        <x:v>9</x:v>
      </x:c>
      <x:c r="G164" s="14">
        <x:v>0</x:v>
      </x:c>
      <x:c r="H164" s="14">
        <x:v>155</x:v>
      </x:c>
      <x:c r="I164" s="14">
        <x:v>15</x:v>
      </x:c>
      <x:c r="J164" s="13" t="inlineStr">
        <x:is>
          <x:t xml:space="preserve">19/80</x:t>
        </x:is>
      </x:c>
      <x:c r="K164" s="1"/>
      <x:c r="L164" s="1"/>
    </x:row>
    <x:row r="165" ht="22" customHeight="1">
      <x:c r="A165" s="93" t="n">
        <x:v>43511</x:v>
      </x:c>
      <x:c r="B165" s="24" t="n">
        <x:v>2019</x:v>
      </x:c>
      <x:c r="C165" s="16">
        <x:v>3246</x:v>
      </x:c>
      <x:c r="D165" s="16">
        <x:v>2</x:v>
      </x:c>
      <x:c r="E165" s="16">
        <x:v>1</x:v>
      </x:c>
      <x:c r="F165" s="16">
        <x:v>0</x:v>
      </x:c>
      <x:c r="G165" s="16">
        <x:v>0</x:v>
      </x:c>
      <x:c r="H165" s="16">
        <x:v>79</x:v>
      </x:c>
      <x:c r="I165" s="16">
        <x:v>2</x:v>
      </x:c>
      <x:c r="J165" s="15" t="inlineStr">
        <x:is>
          <x:t xml:space="preserve">19/81</x:t>
        </x:is>
      </x:c>
      <x:c r="K165" s="1"/>
      <x:c r="L165" s="1"/>
    </x:row>
    <x:row r="166" ht="22" customHeight="1">
      <x:c r="A166" s="92" t="n">
        <x:v>43516</x:v>
      </x:c>
      <x:c r="B166" s="21" t="n">
        <x:v>2019</x:v>
      </x:c>
      <x:c r="C166" s="14">
        <x:v>1025</x:v>
      </x:c>
      <x:c r="D166" s="14">
        <x:v>106</x:v>
      </x:c>
      <x:c r="E166" s="14">
        <x:v>31</x:v>
      </x:c>
      <x:c r="F166" s="14">
        <x:v>8</x:v>
      </x:c>
      <x:c r="G166" s="14">
        <x:v>0</x:v>
      </x:c>
      <x:c r="H166" s="14">
        <x:v>69</x:v>
      </x:c>
      <x:c r="I166" s="14">
        <x:v>37</x:v>
      </x:c>
      <x:c r="J166" s="13" t="inlineStr">
        <x:is>
          <x:t xml:space="preserve">19/82</x:t>
        </x:is>
      </x:c>
      <x:c r="K166" s="1"/>
      <x:c r="L166" s="1"/>
    </x:row>
    <x:row r="167" ht="22" customHeight="1">
      <x:c r="A167" s="93" t="n">
        <x:v>43517</x:v>
      </x:c>
      <x:c r="B167" s="24" t="n">
        <x:v>2019</x:v>
      </x:c>
      <x:c r="C167" s="16">
        <x:v>7902</x:v>
      </x:c>
      <x:c r="D167" s="16">
        <x:v>69</x:v>
      </x:c>
      <x:c r="E167" s="16">
        <x:v>6</x:v>
      </x:c>
      <x:c r="F167" s="16">
        <x:v>9</x:v>
      </x:c>
      <x:c r="G167" s="16">
        <x:v>1</x:v>
      </x:c>
      <x:c r="H167" s="16">
        <x:v>212</x:v>
      </x:c>
      <x:c r="I167" s="16">
        <x:v>19</x:v>
      </x:c>
      <x:c r="J167" s="15" t="inlineStr">
        <x:is>
          <x:t xml:space="preserve">19/83</x:t>
        </x:is>
      </x:c>
      <x:c r="K167" s="1"/>
      <x:c r="L167" s="1"/>
    </x:row>
    <x:row r="168" ht="22" customHeight="1">
      <x:c r="A168" s="92" t="n">
        <x:v>43518</x:v>
      </x:c>
      <x:c r="B168" s="21" t="n">
        <x:v>2019</x:v>
      </x:c>
      <x:c r="C168" s="14">
        <x:v>1827</x:v>
      </x:c>
      <x:c r="D168" s="14">
        <x:v>0</x:v>
      </x:c>
      <x:c r="E168" s="14">
        <x:v>0</x:v>
      </x:c>
      <x:c r="F168" s="14">
        <x:v>0</x:v>
      </x:c>
      <x:c r="G168" s="14">
        <x:v>0</x:v>
      </x:c>
      <x:c r="H168" s="14">
        <x:v>49</x:v>
      </x:c>
      <x:c r="I168" s="14">
        <x:v>0</x:v>
      </x:c>
      <x:c r="J168" s="13"/>
      <x:c r="K168" s="1"/>
      <x:c r="L168" s="1"/>
    </x:row>
    <x:row r="169" ht="22" customHeight="1">
      <x:c r="A169" s="93" t="n">
        <x:v>43537</x:v>
      </x:c>
      <x:c r="B169" s="24" t="n">
        <x:v>2019</x:v>
      </x:c>
      <x:c r="C169" s="16">
        <x:v>1255</x:v>
      </x:c>
      <x:c r="D169" s="16">
        <x:v>2</x:v>
      </x:c>
      <x:c r="E169" s="16">
        <x:v>0</x:v>
      </x:c>
      <x:c r="F169" s="16">
        <x:v>0</x:v>
      </x:c>
      <x:c r="G169" s="16">
        <x:v>0</x:v>
      </x:c>
      <x:c r="H169" s="16">
        <x:v>92</x:v>
      </x:c>
      <x:c r="I169" s="16">
        <x:v>2</x:v>
      </x:c>
      <x:c r="J169" s="15" t="inlineStr">
        <x:is>
          <x:t xml:space="preserve">19/85</x:t>
        </x:is>
      </x:c>
      <x:c r="K169" s="1"/>
      <x:c r="L169" s="1"/>
    </x:row>
    <x:row r="170" ht="22" customHeight="1">
      <x:c r="A170" s="92" t="n">
        <x:v>43538</x:v>
      </x:c>
      <x:c r="B170" s="21" t="n">
        <x:v>2019</x:v>
      </x:c>
      <x:c r="C170" s="14">
        <x:v>7393</x:v>
      </x:c>
      <x:c r="D170" s="14">
        <x:v>31</x:v>
      </x:c>
      <x:c r="E170" s="14">
        <x:v>0</x:v>
      </x:c>
      <x:c r="F170" s="14">
        <x:v>5</x:v>
      </x:c>
      <x:c r="G170" s="14">
        <x:v>0</x:v>
      </x:c>
      <x:c r="H170" s="14">
        <x:v>200</x:v>
      </x:c>
      <x:c r="I170" s="14">
        <x:v>9</x:v>
      </x:c>
      <x:c r="J170" s="13" t="inlineStr">
        <x:is>
          <x:t xml:space="preserve">19/86</x:t>
        </x:is>
      </x:c>
      <x:c r="K170" s="1"/>
      <x:c r="L170" s="1"/>
    </x:row>
    <x:row r="171" ht="22" customHeight="1">
      <x:c r="A171" s="93" t="n">
        <x:v>43539</x:v>
      </x:c>
      <x:c r="B171" s="24" t="n">
        <x:v>2019</x:v>
      </x:c>
      <x:c r="C171" s="16">
        <x:v>3477</x:v>
      </x:c>
      <x:c r="D171" s="16">
        <x:v>10</x:v>
      </x:c>
      <x:c r="E171" s="16">
        <x:v>1</x:v>
      </x:c>
      <x:c r="F171" s="16">
        <x:v>1</x:v>
      </x:c>
      <x:c r="G171" s="16">
        <x:v>0</x:v>
      </x:c>
      <x:c r="H171" s="16">
        <x:v>82</x:v>
      </x:c>
      <x:c r="I171" s="16">
        <x:v>7</x:v>
      </x:c>
      <x:c r="J171" s="15" t="inlineStr">
        <x:is>
          <x:t xml:space="preserve">19/87</x:t>
        </x:is>
      </x:c>
      <x:c r="K171" s="1"/>
      <x:c r="L171" s="1"/>
    </x:row>
    <x:row r="172" ht="22" customHeight="1">
      <x:c r="A172" s="92" t="n">
        <x:v>43544</x:v>
      </x:c>
      <x:c r="B172" s="21" t="n">
        <x:v>2019</x:v>
      </x:c>
      <x:c r="C172" s="14">
        <x:v>1635</x:v>
      </x:c>
      <x:c r="D172" s="14">
        <x:v>1</x:v>
      </x:c>
      <x:c r="E172" s="14">
        <x:v>0</x:v>
      </x:c>
      <x:c r="F172" s="14">
        <x:v>0</x:v>
      </x:c>
      <x:c r="G172" s="14">
        <x:v>0</x:v>
      </x:c>
      <x:c r="H172" s="14">
        <x:v>101</x:v>
      </x:c>
      <x:c r="I172" s="14">
        <x:v>1</x:v>
      </x:c>
      <x:c r="J172" s="13" t="inlineStr">
        <x:is>
          <x:t xml:space="preserve">19/88</x:t>
        </x:is>
      </x:c>
      <x:c r="K172" s="1"/>
      <x:c r="L172" s="1"/>
    </x:row>
    <x:row r="173" ht="22" customHeight="1">
      <x:c r="A173" s="93" t="n">
        <x:v>43545</x:v>
      </x:c>
      <x:c r="B173" s="24" t="n">
        <x:v>2019</x:v>
      </x:c>
      <x:c r="C173" s="16">
        <x:v>7080</x:v>
      </x:c>
      <x:c r="D173" s="16">
        <x:v>62</x:v>
      </x:c>
      <x:c r="E173" s="16">
        <x:v>10</x:v>
      </x:c>
      <x:c r="F173" s="16">
        <x:v>26</x:v>
      </x:c>
      <x:c r="G173" s="16">
        <x:v>4</x:v>
      </x:c>
      <x:c r="H173" s="16">
        <x:v>171</x:v>
      </x:c>
      <x:c r="I173" s="16">
        <x:v>15</x:v>
      </x:c>
      <x:c r="J173" s="15" t="inlineStr">
        <x:is>
          <x:t xml:space="preserve">19/89</x:t>
        </x:is>
      </x:c>
      <x:c r="K173" s="1"/>
      <x:c r="L173" s="1"/>
    </x:row>
    <x:row r="174" ht="22" customHeight="1">
      <x:c r="A174" s="92" t="n">
        <x:v>43546</x:v>
      </x:c>
      <x:c r="B174" s="21" t="n">
        <x:v>2019</x:v>
      </x:c>
      <x:c r="C174" s="14">
        <x:v>2758</x:v>
      </x:c>
      <x:c r="D174" s="14">
        <x:v>0</x:v>
      </x:c>
      <x:c r="E174" s="14">
        <x:v>0</x:v>
      </x:c>
      <x:c r="F174" s="14">
        <x:v>0</x:v>
      </x:c>
      <x:c r="G174" s="14">
        <x:v>0</x:v>
      </x:c>
      <x:c r="H174" s="14">
        <x:v>68</x:v>
      </x:c>
      <x:c r="I174" s="14">
        <x:v>0</x:v>
      </x:c>
      <x:c r="J174" s="13"/>
      <x:c r="K174" s="1"/>
      <x:c r="L174" s="1"/>
    </x:row>
    <x:row r="175" ht="22" customHeight="1">
      <x:c r="A175" s="93" t="n">
        <x:v>43558</x:v>
      </x:c>
      <x:c r="B175" s="24" t="n">
        <x:v>2019</x:v>
      </x:c>
      <x:c r="C175" s="16">
        <x:v>1074</x:v>
      </x:c>
      <x:c r="D175" s="16">
        <x:v>2</x:v>
      </x:c>
      <x:c r="E175" s="16">
        <x:v>0</x:v>
      </x:c>
      <x:c r="F175" s="16">
        <x:v>0</x:v>
      </x:c>
      <x:c r="G175" s="16">
        <x:v>0</x:v>
      </x:c>
      <x:c r="H175" s="16">
        <x:v>88</x:v>
      </x:c>
      <x:c r="I175" s="16">
        <x:v>1</x:v>
      </x:c>
      <x:c r="J175" s="15" t="inlineStr">
        <x:is>
          <x:t xml:space="preserve">19/91</x:t>
        </x:is>
      </x:c>
      <x:c r="K175" s="1"/>
      <x:c r="L175" s="1"/>
    </x:row>
    <x:row r="176" ht="22" customHeight="1">
      <x:c r="A176" s="92" t="n">
        <x:v>43559</x:v>
      </x:c>
      <x:c r="B176" s="21" t="n">
        <x:v>2019</x:v>
      </x:c>
      <x:c r="C176" s="14">
        <x:v>7341</x:v>
      </x:c>
      <x:c r="D176" s="14">
        <x:v>153</x:v>
      </x:c>
      <x:c r="E176" s="14">
        <x:v>69</x:v>
      </x:c>
      <x:c r="F176" s="14">
        <x:v>28</x:v>
      </x:c>
      <x:c r="G176" s="14">
        <x:v>9</x:v>
      </x:c>
      <x:c r="H176" s="14">
        <x:v>189</x:v>
      </x:c>
      <x:c r="I176" s="14">
        <x:v>22</x:v>
      </x:c>
      <x:c r="J176" s="13" t="inlineStr">
        <x:is>
          <x:t xml:space="preserve">19/92</x:t>
        </x:is>
      </x:c>
      <x:c r="K176" s="1"/>
      <x:c r="L176" s="1"/>
    </x:row>
    <x:row r="177" ht="22" customHeight="1">
      <x:c r="A177" s="93" t="n">
        <x:v>43560</x:v>
      </x:c>
      <x:c r="B177" s="24" t="n">
        <x:v>2019</x:v>
      </x:c>
      <x:c r="C177" s="16">
        <x:v>3511</x:v>
      </x:c>
      <x:c r="D177" s="16">
        <x:v>4</x:v>
      </x:c>
      <x:c r="E177" s="16">
        <x:v>2</x:v>
      </x:c>
      <x:c r="F177" s="16">
        <x:v>0</x:v>
      </x:c>
      <x:c r="G177" s="16">
        <x:v>2</x:v>
      </x:c>
      <x:c r="H177" s="16">
        <x:v>82</x:v>
      </x:c>
      <x:c r="I177" s="16">
        <x:v>4</x:v>
      </x:c>
      <x:c r="J177" s="15" t="inlineStr">
        <x:is>
          <x:t xml:space="preserve">19/93</x:t>
        </x:is>
      </x:c>
      <x:c r="K177" s="1"/>
      <x:c r="L177" s="1"/>
    </x:row>
    <x:row r="178" ht="22" customHeight="1">
      <x:c r="A178" s="92" t="n">
        <x:v>43565</x:v>
      </x:c>
      <x:c r="B178" s="21" t="n">
        <x:v>2019</x:v>
      </x:c>
      <x:c r="C178" s="14">
        <x:v>1679</x:v>
      </x:c>
      <x:c r="D178" s="14">
        <x:v>4</x:v>
      </x:c>
      <x:c r="E178" s="14">
        <x:v>0</x:v>
      </x:c>
      <x:c r="F178" s="14">
        <x:v>1</x:v>
      </x:c>
      <x:c r="G178" s="14">
        <x:v>0</x:v>
      </x:c>
      <x:c r="H178" s="14">
        <x:v>103</x:v>
      </x:c>
      <x:c r="I178" s="14">
        <x:v>4</x:v>
      </x:c>
      <x:c r="J178" s="13" t="inlineStr">
        <x:is>
          <x:t xml:space="preserve">19/94</x:t>
        </x:is>
      </x:c>
      <x:c r="K178" s="1"/>
      <x:c r="L178" s="1"/>
    </x:row>
    <x:row r="179" ht="22" customHeight="1">
      <x:c r="A179" s="93" t="n">
        <x:v>43566</x:v>
      </x:c>
      <x:c r="B179" s="24" t="n">
        <x:v>2019</x:v>
      </x:c>
      <x:c r="C179" s="16">
        <x:v>7033</x:v>
      </x:c>
      <x:c r="D179" s="16">
        <x:v>14</x:v>
      </x:c>
      <x:c r="E179" s="16">
        <x:v>1</x:v>
      </x:c>
      <x:c r="F179" s="16">
        <x:v>1</x:v>
      </x:c>
      <x:c r="G179" s="16">
        <x:v>2</x:v>
      </x:c>
      <x:c r="H179" s="16">
        <x:v>201</x:v>
      </x:c>
      <x:c r="I179" s="16">
        <x:v>12</x:v>
      </x:c>
      <x:c r="J179" s="15" t="inlineStr">
        <x:is>
          <x:t xml:space="preserve">19/95</x:t>
        </x:is>
      </x:c>
      <x:c r="K179" s="1"/>
      <x:c r="L179" s="1"/>
    </x:row>
    <x:row r="180" ht="22" customHeight="1">
      <x:c r="A180" s="92" t="n">
        <x:v>43567</x:v>
      </x:c>
      <x:c r="B180" s="21" t="n">
        <x:v>2019</x:v>
      </x:c>
      <x:c r="C180" s="14">
        <x:v>2957</x:v>
      </x:c>
      <x:c r="D180" s="14">
        <x:v>20</x:v>
      </x:c>
      <x:c r="E180" s="14">
        <x:v>4</x:v>
      </x:c>
      <x:c r="F180" s="14">
        <x:v>5</x:v>
      </x:c>
      <x:c r="G180" s="14">
        <x:v>0</x:v>
      </x:c>
      <x:c r="H180" s="14">
        <x:v>70</x:v>
      </x:c>
      <x:c r="I180" s="14">
        <x:v>9</x:v>
      </x:c>
      <x:c r="J180" s="13" t="inlineStr">
        <x:is>
          <x:t xml:space="preserve">19/96</x:t>
        </x:is>
      </x:c>
      <x:c r="K180" s="1"/>
      <x:c r="L180" s="1"/>
    </x:row>
    <x:row r="181" ht="22" customHeight="1">
      <x:c r="A181" s="93" t="n">
        <x:v>43593</x:v>
      </x:c>
      <x:c r="B181" s="24" t="n">
        <x:v>2019</x:v>
      </x:c>
      <x:c r="C181" s="16">
        <x:v>1178</x:v>
      </x:c>
      <x:c r="D181" s="16">
        <x:v>59</x:v>
      </x:c>
      <x:c r="E181" s="16">
        <x:v>32</x:v>
      </x:c>
      <x:c r="F181" s="16">
        <x:v>6</x:v>
      </x:c>
      <x:c r="G181" s="16">
        <x:v>0</x:v>
      </x:c>
      <x:c r="H181" s="16">
        <x:v>89</x:v>
      </x:c>
      <x:c r="I181" s="16">
        <x:v>25</x:v>
      </x:c>
      <x:c r="J181" s="15" t="inlineStr">
        <x:is>
          <x:t xml:space="preserve">19/97</x:t>
        </x:is>
      </x:c>
      <x:c r="K181" s="1"/>
      <x:c r="L181" s="1"/>
    </x:row>
    <x:row r="182" ht="22" customHeight="1">
      <x:c r="A182" s="92" t="n">
        <x:v>43594</x:v>
      </x:c>
      <x:c r="B182" s="21" t="n">
        <x:v>2019</x:v>
      </x:c>
      <x:c r="C182" s="14">
        <x:v>8048</x:v>
      </x:c>
      <x:c r="D182" s="14">
        <x:v>18</x:v>
      </x:c>
      <x:c r="E182" s="14">
        <x:v>4</x:v>
      </x:c>
      <x:c r="F182" s="14">
        <x:v>2</x:v>
      </x:c>
      <x:c r="G182" s="14">
        <x:v>2</x:v>
      </x:c>
      <x:c r="H182" s="14">
        <x:v>202</x:v>
      </x:c>
      <x:c r="I182" s="14">
        <x:v>15</x:v>
      </x:c>
      <x:c r="J182" s="13" t="inlineStr">
        <x:is>
          <x:t xml:space="preserve">19/98</x:t>
        </x:is>
      </x:c>
      <x:c r="K182" s="1"/>
      <x:c r="L182" s="1"/>
    </x:row>
    <x:row r="183" ht="22" customHeight="1">
      <x:c r="A183" s="93" t="n">
        <x:v>43595</x:v>
      </x:c>
      <x:c r="B183" s="24" t="n">
        <x:v>2019</x:v>
      </x:c>
      <x:c r="C183" s="16">
        <x:v>3113</x:v>
      </x:c>
      <x:c r="D183" s="16">
        <x:v>75</x:v>
      </x:c>
      <x:c r="E183" s="16">
        <x:v>33</x:v>
      </x:c>
      <x:c r="F183" s="16">
        <x:v>10</x:v>
      </x:c>
      <x:c r="G183" s="16">
        <x:v>1</x:v>
      </x:c>
      <x:c r="H183" s="16">
        <x:v>71</x:v>
      </x:c>
      <x:c r="I183" s="16">
        <x:v>17</x:v>
      </x:c>
      <x:c r="J183" s="15" t="inlineStr">
        <x:is>
          <x:t xml:space="preserve">19/99</x:t>
        </x:is>
      </x:c>
      <x:c r="K183" s="1"/>
      <x:c r="L183" s="1"/>
    </x:row>
    <x:row r="184" ht="22" customHeight="1">
      <x:c r="A184" s="92" t="n">
        <x:v>43600</x:v>
      </x:c>
      <x:c r="B184" s="21" t="n">
        <x:v>2019</x:v>
      </x:c>
      <x:c r="C184" s="14">
        <x:v>1773</x:v>
      </x:c>
      <x:c r="D184" s="14">
        <x:v>3</x:v>
      </x:c>
      <x:c r="E184" s="14">
        <x:v>1</x:v>
      </x:c>
      <x:c r="F184" s="14">
        <x:v>1</x:v>
      </x:c>
      <x:c r="G184" s="14">
        <x:v>0</x:v>
      </x:c>
      <x:c r="H184" s="14">
        <x:v>117</x:v>
      </x:c>
      <x:c r="I184" s="14">
        <x:v>3</x:v>
      </x:c>
      <x:c r="J184" s="13" t="inlineStr">
        <x:is>
          <x:t xml:space="preserve">19/100</x:t>
        </x:is>
      </x:c>
      <x:c r="K184" s="1"/>
      <x:c r="L184" s="1"/>
    </x:row>
    <x:row r="185" ht="22" customHeight="1">
      <x:c r="A185" s="93" t="n">
        <x:v>43601</x:v>
      </x:c>
      <x:c r="B185" s="24" t="n">
        <x:v>2019</x:v>
      </x:c>
      <x:c r="C185" s="16">
        <x:v>7734</x:v>
      </x:c>
      <x:c r="D185" s="16">
        <x:v>63</x:v>
      </x:c>
      <x:c r="E185" s="16">
        <x:v>12</x:v>
      </x:c>
      <x:c r="F185" s="16">
        <x:v>9</x:v>
      </x:c>
      <x:c r="G185" s="16">
        <x:v>1</x:v>
      </x:c>
      <x:c r="H185" s="16">
        <x:v>195</x:v>
      </x:c>
      <x:c r="I185" s="16">
        <x:v>9</x:v>
      </x:c>
      <x:c r="J185" s="15" t="inlineStr">
        <x:is>
          <x:t xml:space="preserve">19/101</x:t>
        </x:is>
      </x:c>
      <x:c r="K185" s="1"/>
      <x:c r="L185" s="1"/>
    </x:row>
    <x:row r="186" ht="22" customHeight="1">
      <x:c r="A186" s="92" t="n">
        <x:v>43602</x:v>
      </x:c>
      <x:c r="B186" s="21" t="n">
        <x:v>2019</x:v>
      </x:c>
      <x:c r="C186" s="14">
        <x:v>3919</x:v>
      </x:c>
      <x:c r="D186" s="14">
        <x:v>82</x:v>
      </x:c>
      <x:c r="E186" s="14">
        <x:v>45</x:v>
      </x:c>
      <x:c r="F186" s="14">
        <x:v>5</x:v>
      </x:c>
      <x:c r="G186" s="14">
        <x:v>0</x:v>
      </x:c>
      <x:c r="H186" s="14">
        <x:v>97</x:v>
      </x:c>
      <x:c r="I186" s="14">
        <x:v>18</x:v>
      </x:c>
      <x:c r="J186" s="13" t="inlineStr">
        <x:is>
          <x:t xml:space="preserve">19/102</x:t>
        </x:is>
      </x:c>
      <x:c r="K186" s="1"/>
      <x:c r="L186" s="1"/>
    </x:row>
    <x:row r="187" ht="22" customHeight="1">
      <x:c r="A187" s="93" t="n">
        <x:v>43621</x:v>
      </x:c>
      <x:c r="B187" s="24" t="n">
        <x:v>2019</x:v>
      </x:c>
      <x:c r="C187" s="16">
        <x:v>1232</x:v>
      </x:c>
      <x:c r="D187" s="16">
        <x:v>11</x:v>
      </x:c>
      <x:c r="E187" s="16">
        <x:v>4</x:v>
      </x:c>
      <x:c r="F187" s="16">
        <x:v>4</x:v>
      </x:c>
      <x:c r="G187" s="16">
        <x:v>0</x:v>
      </x:c>
      <x:c r="H187" s="16">
        <x:v>93</x:v>
      </x:c>
      <x:c r="I187" s="16">
        <x:v>9</x:v>
      </x:c>
      <x:c r="J187" s="15" t="inlineStr">
        <x:is>
          <x:t xml:space="preserve">19/103</x:t>
        </x:is>
      </x:c>
      <x:c r="K187" s="1"/>
      <x:c r="L187" s="1"/>
    </x:row>
    <x:row r="188" ht="22" customHeight="1">
      <x:c r="A188" s="92" t="n">
        <x:v>43622</x:v>
      </x:c>
      <x:c r="B188" s="21" t="n">
        <x:v>2019</x:v>
      </x:c>
      <x:c r="C188" s="14">
        <x:v>7511</x:v>
      </x:c>
      <x:c r="D188" s="14">
        <x:v>2</x:v>
      </x:c>
      <x:c r="E188" s="14">
        <x:v>1</x:v>
      </x:c>
      <x:c r="F188" s="14">
        <x:v>2</x:v>
      </x:c>
      <x:c r="G188" s="14">
        <x:v>0</x:v>
      </x:c>
      <x:c r="H188" s="14">
        <x:v>193</x:v>
      </x:c>
      <x:c r="I188" s="14">
        <x:v>2</x:v>
      </x:c>
      <x:c r="J188" s="13" t="inlineStr">
        <x:is>
          <x:t xml:space="preserve">19/104</x:t>
        </x:is>
      </x:c>
      <x:c r="K188" s="1"/>
      <x:c r="L188" s="1"/>
    </x:row>
    <x:row r="189" ht="22" customHeight="1">
      <x:c r="A189" s="93" t="n">
        <x:v>43623</x:v>
      </x:c>
      <x:c r="B189" s="24" t="n">
        <x:v>2019</x:v>
      </x:c>
      <x:c r="C189" s="16">
        <x:v>3864</x:v>
      </x:c>
      <x:c r="D189" s="16">
        <x:v>1</x:v>
      </x:c>
      <x:c r="E189" s="16">
        <x:v>0</x:v>
      </x:c>
      <x:c r="F189" s="16">
        <x:v>1</x:v>
      </x:c>
      <x:c r="G189" s="16">
        <x:v>0</x:v>
      </x:c>
      <x:c r="H189" s="16">
        <x:v>106</x:v>
      </x:c>
      <x:c r="I189" s="16">
        <x:v>1</x:v>
      </x:c>
      <x:c r="J189" s="15" t="inlineStr">
        <x:is>
          <x:t xml:space="preserve">19/105</x:t>
        </x:is>
      </x:c>
      <x:c r="K189" s="1"/>
      <x:c r="L189" s="1"/>
    </x:row>
    <x:row r="190" ht="22" customHeight="1">
      <x:c r="A190" s="92" t="n">
        <x:v>43642</x:v>
      </x:c>
      <x:c r="B190" s="21" t="n">
        <x:v>2019</x:v>
      </x:c>
      <x:c r="C190" s="14">
        <x:v>2535</x:v>
      </x:c>
      <x:c r="D190" s="14">
        <x:v>20</x:v>
      </x:c>
      <x:c r="E190" s="14">
        <x:v>10</x:v>
      </x:c>
      <x:c r="F190" s="14">
        <x:v>0</x:v>
      </x:c>
      <x:c r="G190" s="14">
        <x:v>0</x:v>
      </x:c>
      <x:c r="H190" s="14">
        <x:v>120</x:v>
      </x:c>
      <x:c r="I190" s="14">
        <x:v>6</x:v>
      </x:c>
      <x:c r="J190" s="13" t="inlineStr">
        <x:is>
          <x:t xml:space="preserve">19/106</x:t>
        </x:is>
      </x:c>
      <x:c r="K190" s="1"/>
      <x:c r="L190" s="1"/>
    </x:row>
    <x:row r="191" ht="22" customHeight="1">
      <x:c r="A191" s="93" t="n">
        <x:v>43643</x:v>
      </x:c>
      <x:c r="B191" s="24" t="n">
        <x:v>2019</x:v>
      </x:c>
      <x:c r="C191" s="16">
        <x:v>8705</x:v>
      </x:c>
      <x:c r="D191" s="16">
        <x:v>125</x:v>
      </x:c>
      <x:c r="E191" s="16">
        <x:v>73</x:v>
      </x:c>
      <x:c r="F191" s="16">
        <x:v>25</x:v>
      </x:c>
      <x:c r="G191" s="16">
        <x:v>5</x:v>
      </x:c>
      <x:c r="H191" s="16">
        <x:v>218</x:v>
      </x:c>
      <x:c r="I191" s="16">
        <x:v>22</x:v>
      </x:c>
      <x:c r="J191" s="15" t="inlineStr">
        <x:is>
          <x:t xml:space="preserve">19/107</x:t>
        </x:is>
      </x:c>
      <x:c r="K191" s="1"/>
      <x:c r="L191" s="1"/>
    </x:row>
    <x:row r="192" ht="22" customHeight="1">
      <x:c r="A192" s="92" t="n">
        <x:v>43644</x:v>
      </x:c>
      <x:c r="B192" s="21" t="n">
        <x:v>2019</x:v>
      </x:c>
      <x:c r="C192" s="14">
        <x:v>3829</x:v>
      </x:c>
      <x:c r="D192" s="14">
        <x:v>8</x:v>
      </x:c>
      <x:c r="E192" s="14">
        <x:v>6</x:v>
      </x:c>
      <x:c r="F192" s="14">
        <x:v>3</x:v>
      </x:c>
      <x:c r="G192" s="14">
        <x:v>0</x:v>
      </x:c>
      <x:c r="H192" s="14">
        <x:v>90</x:v>
      </x:c>
      <x:c r="I192" s="14">
        <x:v>8</x:v>
      </x:c>
      <x:c r="J192" s="13" t="inlineStr">
        <x:is>
          <x:t xml:space="preserve">19/108</x:t>
        </x:is>
      </x:c>
      <x:c r="K192" s="1"/>
      <x:c r="L192" s="1"/>
    </x:row>
    <x:row r="193" ht="22" customHeight="1">
      <x:c r="A193" s="93" t="n">
        <x:v>43670</x:v>
      </x:c>
      <x:c r="B193" s="24" t="n">
        <x:v>2019</x:v>
      </x:c>
      <x:c r="C193" s="16">
        <x:v>624</x:v>
      </x:c>
      <x:c r="D193" s="16">
        <x:v>0</x:v>
      </x:c>
      <x:c r="E193" s="16">
        <x:v>0</x:v>
      </x:c>
      <x:c r="F193" s="16">
        <x:v>0</x:v>
      </x:c>
      <x:c r="G193" s="16">
        <x:v>0</x:v>
      </x:c>
      <x:c r="H193" s="16">
        <x:v>12</x:v>
      </x:c>
      <x:c r="I193" s="16">
        <x:v>0</x:v>
      </x:c>
      <x:c r="J193" s="15"/>
      <x:c r="K193" s="1"/>
      <x:c r="L193" s="1"/>
    </x:row>
    <x:row r="194" ht="22" customHeight="1">
      <x:c r="A194" s="92" t="n">
        <x:v>43718</x:v>
      </x:c>
      <x:c r="B194" s="21" t="n">
        <x:v>2019</x:v>
      </x:c>
      <x:c r="C194" s="14">
        <x:v>3621</x:v>
      </x:c>
      <x:c r="D194" s="14">
        <x:v>279</x:v>
      </x:c>
      <x:c r="E194" s="14">
        <x:v>112</x:v>
      </x:c>
      <x:c r="F194" s="14">
        <x:v>39</x:v>
      </x:c>
      <x:c r="G194" s="14">
        <x:v>1</x:v>
      </x:c>
      <x:c r="H194" s="14">
        <x:v>69</x:v>
      </x:c>
      <x:c r="I194" s="14">
        <x:v>30</x:v>
      </x:c>
      <x:c r="J194" s="13" t="inlineStr">
        <x:is>
          <x:t xml:space="preserve">19/110</x:t>
        </x:is>
      </x:c>
      <x:c r="K194" s="1"/>
      <x:c r="L194" s="1"/>
    </x:row>
    <x:row r="195" ht="22" customHeight="1">
      <x:c r="A195" s="93" t="n">
        <x:v>43719</x:v>
      </x:c>
      <x:c r="B195" s="24" t="n">
        <x:v>2019</x:v>
      </x:c>
      <x:c r="C195" s="16">
        <x:v>4206</x:v>
      </x:c>
      <x:c r="D195" s="16">
        <x:v>25</x:v>
      </x:c>
      <x:c r="E195" s="16">
        <x:v>6</x:v>
      </x:c>
      <x:c r="F195" s="16">
        <x:v>6</x:v>
      </x:c>
      <x:c r="G195" s="16">
        <x:v>0</x:v>
      </x:c>
      <x:c r="H195" s="16">
        <x:v>70</x:v>
      </x:c>
      <x:c r="I195" s="16">
        <x:v>10</x:v>
      </x:c>
      <x:c r="J195" s="15" t="inlineStr">
        <x:is>
          <x:t xml:space="preserve">19/111</x:t>
        </x:is>
      </x:c>
      <x:c r="K195" s="1"/>
      <x:c r="L195" s="1"/>
    </x:row>
    <x:row r="196" ht="22" customHeight="1">
      <x:c r="A196" s="92" t="n">
        <x:v>43720</x:v>
      </x:c>
      <x:c r="B196" s="21" t="n">
        <x:v>2019</x:v>
      </x:c>
      <x:c r="C196" s="14">
        <x:v>4238</x:v>
      </x:c>
      <x:c r="D196" s="14">
        <x:v>4</x:v>
      </x:c>
      <x:c r="E196" s="14">
        <x:v>1</x:v>
      </x:c>
      <x:c r="F196" s="14">
        <x:v>1</x:v>
      </x:c>
      <x:c r="G196" s="14">
        <x:v>0</x:v>
      </x:c>
      <x:c r="H196" s="14">
        <x:v>85</x:v>
      </x:c>
      <x:c r="I196" s="14">
        <x:v>3</x:v>
      </x:c>
      <x:c r="J196" s="13" t="inlineStr">
        <x:is>
          <x:t xml:space="preserve">19/112</x:t>
        </x:is>
      </x:c>
      <x:c r="K196" s="1"/>
      <x:c r="L196" s="1"/>
    </x:row>
    <x:row r="197" ht="22" customHeight="1">
      <x:c r="A197" s="93" t="n">
        <x:v>43721</x:v>
      </x:c>
      <x:c r="B197" s="24" t="n">
        <x:v>2019</x:v>
      </x:c>
      <x:c r="C197" s="16">
        <x:v>2554</x:v>
      </x:c>
      <x:c r="D197" s="16">
        <x:v>2</x:v>
      </x:c>
      <x:c r="E197" s="16">
        <x:v>1</x:v>
      </x:c>
      <x:c r="F197" s="16">
        <x:v>0</x:v>
      </x:c>
      <x:c r="G197" s="16">
        <x:v>0</x:v>
      </x:c>
      <x:c r="H197" s="16">
        <x:v>48</x:v>
      </x:c>
      <x:c r="I197" s="16">
        <x:v>2</x:v>
      </x:c>
      <x:c r="J197" s="15" t="inlineStr">
        <x:is>
          <x:t xml:space="preserve">19/113</x:t>
        </x:is>
      </x:c>
      <x:c r="K197" s="1"/>
      <x:c r="L197" s="1"/>
    </x:row>
    <x:row r="198" ht="22" customHeight="1">
      <x:c r="A198" s="92" t="n">
        <x:v>43733</x:v>
      </x:c>
      <x:c r="B198" s="21" t="n">
        <x:v>2019</x:v>
      </x:c>
      <x:c r="C198" s="14">
        <x:v>996</x:v>
      </x:c>
      <x:c r="D198" s="14">
        <x:v>2</x:v>
      </x:c>
      <x:c r="E198" s="14">
        <x:v>2</x:v>
      </x:c>
      <x:c r="F198" s="14">
        <x:v>2</x:v>
      </x:c>
      <x:c r="G198" s="14">
        <x:v>0</x:v>
      </x:c>
      <x:c r="H198" s="14">
        <x:v>86</x:v>
      </x:c>
      <x:c r="I198" s="14">
        <x:v>2</x:v>
      </x:c>
      <x:c r="J198" s="13" t="inlineStr">
        <x:is>
          <x:t xml:space="preserve">19/114</x:t>
        </x:is>
      </x:c>
      <x:c r="K198" s="1"/>
      <x:c r="L198" s="1"/>
    </x:row>
    <x:row r="199" ht="22" customHeight="1">
      <x:c r="A199" s="93" t="n">
        <x:v>43734</x:v>
      </x:c>
      <x:c r="B199" s="24" t="n">
        <x:v>2019</x:v>
      </x:c>
      <x:c r="C199" s="16">
        <x:v>7980</x:v>
      </x:c>
      <x:c r="D199" s="16">
        <x:v>27</x:v>
      </x:c>
      <x:c r="E199" s="16">
        <x:v>11</x:v>
      </x:c>
      <x:c r="F199" s="16">
        <x:v>7</x:v>
      </x:c>
      <x:c r="G199" s="16">
        <x:v>1</x:v>
      </x:c>
      <x:c r="H199" s="16">
        <x:v>229</x:v>
      </x:c>
      <x:c r="I199" s="16">
        <x:v>15</x:v>
      </x:c>
      <x:c r="J199" s="15" t="inlineStr">
        <x:is>
          <x:t xml:space="preserve">19/115</x:t>
        </x:is>
      </x:c>
      <x:c r="K199" s="1"/>
      <x:c r="L199" s="1"/>
    </x:row>
    <x:row r="200" ht="22" customHeight="1">
      <x:c r="A200" s="92" t="n">
        <x:v>43735</x:v>
      </x:c>
      <x:c r="B200" s="21" t="n">
        <x:v>2019</x:v>
      </x:c>
      <x:c r="C200" s="14">
        <x:v>3880</x:v>
      </x:c>
      <x:c r="D200" s="14">
        <x:v>4</x:v>
      </x:c>
      <x:c r="E200" s="14">
        <x:v>0</x:v>
      </x:c>
      <x:c r="F200" s="14">
        <x:v>1</x:v>
      </x:c>
      <x:c r="G200" s="14">
        <x:v>0</x:v>
      </x:c>
      <x:c r="H200" s="14">
        <x:v>93</x:v>
      </x:c>
      <x:c r="I200" s="14">
        <x:v>3</x:v>
      </x:c>
      <x:c r="J200" s="13" t="inlineStr">
        <x:is>
          <x:t xml:space="preserve">19/116</x:t>
        </x:is>
      </x:c>
      <x:c r="K200" s="1"/>
      <x:c r="L200" s="1"/>
    </x:row>
    <x:row r="201" ht="22" customHeight="1">
      <x:c r="A201" s="93" t="n">
        <x:v>43754</x:v>
      </x:c>
      <x:c r="B201" s="24" t="n">
        <x:v>2019</x:v>
      </x:c>
      <x:c r="C201" s="16">
        <x:v>1127</x:v>
      </x:c>
      <x:c r="D201" s="16">
        <x:v>0</x:v>
      </x:c>
      <x:c r="E201" s="16">
        <x:v>0</x:v>
      </x:c>
      <x:c r="F201" s="16">
        <x:v>0</x:v>
      </x:c>
      <x:c r="G201" s="16">
        <x:v>0</x:v>
      </x:c>
      <x:c r="H201" s="16">
        <x:v>87</x:v>
      </x:c>
      <x:c r="I201" s="16">
        <x:v>0</x:v>
      </x:c>
      <x:c r="J201" s="15"/>
      <x:c r="K201" s="1"/>
      <x:c r="L201" s="1"/>
    </x:row>
    <x:row r="202" ht="22" customHeight="1">
      <x:c r="A202" s="92" t="n">
        <x:v>43755</x:v>
      </x:c>
      <x:c r="B202" s="21" t="n">
        <x:v>2019</x:v>
      </x:c>
      <x:c r="C202" s="14">
        <x:v>7983</x:v>
      </x:c>
      <x:c r="D202" s="14">
        <x:v>75</x:v>
      </x:c>
      <x:c r="E202" s="14">
        <x:v>14</x:v>
      </x:c>
      <x:c r="F202" s="14">
        <x:v>21</x:v>
      </x:c>
      <x:c r="G202" s="14">
        <x:v>0</x:v>
      </x:c>
      <x:c r="H202" s="14">
        <x:v>225</x:v>
      </x:c>
      <x:c r="I202" s="14">
        <x:v>14</x:v>
      </x:c>
      <x:c r="J202" s="13" t="inlineStr">
        <x:is>
          <x:t xml:space="preserve">19/118</x:t>
        </x:is>
      </x:c>
      <x:c r="K202" s="1"/>
      <x:c r="L202" s="1"/>
    </x:row>
    <x:row r="203" ht="22" customHeight="1">
      <x:c r="A203" s="93" t="n">
        <x:v>43756</x:v>
      </x:c>
      <x:c r="B203" s="24" t="n">
        <x:v>2019</x:v>
      </x:c>
      <x:c r="C203" s="16">
        <x:v>3816</x:v>
      </x:c>
      <x:c r="D203" s="16">
        <x:v>7</x:v>
      </x:c>
      <x:c r="E203" s="16">
        <x:v>1</x:v>
      </x:c>
      <x:c r="F203" s="16">
        <x:v>2</x:v>
      </x:c>
      <x:c r="G203" s="16">
        <x:v>0</x:v>
      </x:c>
      <x:c r="H203" s="16">
        <x:v>85</x:v>
      </x:c>
      <x:c r="I203" s="16">
        <x:v>6</x:v>
      </x:c>
      <x:c r="J203" s="15" t="inlineStr">
        <x:is>
          <x:t xml:space="preserve">19/119</x:t>
        </x:is>
      </x:c>
      <x:c r="K203" s="1"/>
      <x:c r="L203" s="1"/>
    </x:row>
    <x:row r="204" ht="22" customHeight="1">
      <x:c r="A204" s="92" t="n">
        <x:v>43761</x:v>
      </x:c>
      <x:c r="B204" s="21" t="n">
        <x:v>2019</x:v>
      </x:c>
      <x:c r="C204" s="14">
        <x:v>1007</x:v>
      </x:c>
      <x:c r="D204" s="14">
        <x:v>1</x:v>
      </x:c>
      <x:c r="E204" s="14">
        <x:v>0</x:v>
      </x:c>
      <x:c r="F204" s="14">
        <x:v>1</x:v>
      </x:c>
      <x:c r="G204" s="14">
        <x:v>0</x:v>
      </x:c>
      <x:c r="H204" s="14">
        <x:v>87</x:v>
      </x:c>
      <x:c r="I204" s="14">
        <x:v>1</x:v>
      </x:c>
      <x:c r="J204" s="13" t="inlineStr">
        <x:is>
          <x:t xml:space="preserve">19/120</x:t>
        </x:is>
      </x:c>
      <x:c r="K204" s="1"/>
      <x:c r="L204" s="1"/>
    </x:row>
    <x:row r="205" ht="22" customHeight="1">
      <x:c r="A205" s="93" t="n">
        <x:v>43762</x:v>
      </x:c>
      <x:c r="B205" s="24" t="n">
        <x:v>2019</x:v>
      </x:c>
      <x:c r="C205" s="16">
        <x:v>7227</x:v>
      </x:c>
      <x:c r="D205" s="16">
        <x:v>167</x:v>
      </x:c>
      <x:c r="E205" s="16">
        <x:v>37</x:v>
      </x:c>
      <x:c r="F205" s="16">
        <x:v>31</x:v>
      </x:c>
      <x:c r="G205" s="16">
        <x:v>4</x:v>
      </x:c>
      <x:c r="H205" s="16">
        <x:v>196</x:v>
      </x:c>
      <x:c r="I205" s="16">
        <x:v>23</x:v>
      </x:c>
      <x:c r="J205" s="15" t="inlineStr">
        <x:is>
          <x:t xml:space="preserve">19/121</x:t>
        </x:is>
      </x:c>
      <x:c r="K205" s="1"/>
      <x:c r="L205" s="1"/>
    </x:row>
    <x:row r="206" ht="22" customHeight="1">
      <x:c r="A206" s="92" t="n">
        <x:v>43763</x:v>
      </x:c>
      <x:c r="B206" s="21" t="n">
        <x:v>2019</x:v>
      </x:c>
      <x:c r="C206" s="14">
        <x:v>3885</x:v>
      </x:c>
      <x:c r="D206" s="14">
        <x:v>40</x:v>
      </x:c>
      <x:c r="E206" s="14">
        <x:v>5</x:v>
      </x:c>
      <x:c r="F206" s="14">
        <x:v>7</x:v>
      </x:c>
      <x:c r="G206" s="14">
        <x:v>2</x:v>
      </x:c>
      <x:c r="H206" s="14">
        <x:v>93</x:v>
      </x:c>
      <x:c r="I206" s="14">
        <x:v>17</x:v>
      </x:c>
      <x:c r="J206" s="13" t="inlineStr">
        <x:is>
          <x:t xml:space="preserve">19/122</x:t>
        </x:is>
      </x:c>
      <x:c r="K206" s="1"/>
      <x:c r="L206" s="1"/>
    </x:row>
    <x:row r="207" ht="22" customHeight="1">
      <x:c r="A207" s="93" t="n">
        <x:v>43775</x:v>
      </x:c>
      <x:c r="B207" s="24" t="n">
        <x:v>2019</x:v>
      </x:c>
      <x:c r="C207" s="16">
        <x:v>946</x:v>
      </x:c>
      <x:c r="D207" s="16">
        <x:v>0</x:v>
      </x:c>
      <x:c r="E207" s="16">
        <x:v>0</x:v>
      </x:c>
      <x:c r="F207" s="16">
        <x:v>0</x:v>
      </x:c>
      <x:c r="G207" s="16">
        <x:v>0</x:v>
      </x:c>
      <x:c r="H207" s="16">
        <x:v>75</x:v>
      </x:c>
      <x:c r="I207" s="16">
        <x:v>0</x:v>
      </x:c>
      <x:c r="J207" s="15"/>
      <x:c r="K207" s="1"/>
      <x:c r="L207" s="1"/>
    </x:row>
    <x:row r="208" ht="22" customHeight="1">
      <x:c r="A208" s="92" t="n">
        <x:v>43776</x:v>
      </x:c>
      <x:c r="B208" s="21" t="n">
        <x:v>2019</x:v>
      </x:c>
      <x:c r="C208" s="14">
        <x:v>7547</x:v>
      </x:c>
      <x:c r="D208" s="14">
        <x:v>17</x:v>
      </x:c>
      <x:c r="E208" s="14">
        <x:v>5</x:v>
      </x:c>
      <x:c r="F208" s="14">
        <x:v>2</x:v>
      </x:c>
      <x:c r="G208" s="14">
        <x:v>2</x:v>
      </x:c>
      <x:c r="H208" s="14">
        <x:v>206</x:v>
      </x:c>
      <x:c r="I208" s="14">
        <x:v>7</x:v>
      </x:c>
      <x:c r="J208" s="13" t="inlineStr">
        <x:is>
          <x:t xml:space="preserve">19/124 (neu)</x:t>
        </x:is>
      </x:c>
      <x:c r="K208" s="1"/>
      <x:c r="L208" s="1"/>
    </x:row>
    <x:row r="209" ht="22" customHeight="1">
      <x:c r="A209" s="93" t="n">
        <x:v>43777</x:v>
      </x:c>
      <x:c r="B209" s="24" t="n">
        <x:v>2019</x:v>
      </x:c>
      <x:c r="C209" s="16">
        <x:v>4621</x:v>
      </x:c>
      <x:c r="D209" s="16">
        <x:v>6</x:v>
      </x:c>
      <x:c r="E209" s="16">
        <x:v>1</x:v>
      </x:c>
      <x:c r="F209" s="16">
        <x:v>5</x:v>
      </x:c>
      <x:c r="G209" s="16">
        <x:v>0</x:v>
      </x:c>
      <x:c r="H209" s="16">
        <x:v>105</x:v>
      </x:c>
      <x:c r="I209" s="16">
        <x:v>3</x:v>
      </x:c>
      <x:c r="J209" s="15" t="inlineStr">
        <x:is>
          <x:t xml:space="preserve">19/125</x:t>
        </x:is>
      </x:c>
      <x:c r="K209" s="1"/>
      <x:c r="L209" s="1"/>
    </x:row>
    <x:row r="210" ht="22" customHeight="1">
      <x:c r="A210" s="92" t="n">
        <x:v>43782</x:v>
      </x:c>
      <x:c r="B210" s="21" t="n">
        <x:v>2019</x:v>
      </x:c>
      <x:c r="C210" s="14">
        <x:v>1352</x:v>
      </x:c>
      <x:c r="D210" s="14">
        <x:v>81</x:v>
      </x:c>
      <x:c r="E210" s="14">
        <x:v>11</x:v>
      </x:c>
      <x:c r="F210" s="14">
        <x:v>27</x:v>
      </x:c>
      <x:c r="G210" s="14">
        <x:v>1</x:v>
      </x:c>
      <x:c r="H210" s="14">
        <x:v>86</x:v>
      </x:c>
      <x:c r="I210" s="14">
        <x:v>9</x:v>
      </x:c>
      <x:c r="J210" s="13" t="inlineStr">
        <x:is>
          <x:t xml:space="preserve">19/126</x:t>
        </x:is>
      </x:c>
      <x:c r="K210" s="1"/>
      <x:c r="L210" s="1"/>
    </x:row>
    <x:row r="211" ht="22" customHeight="1">
      <x:c r="A211" s="93" t="n">
        <x:v>43783</x:v>
      </x:c>
      <x:c r="B211" s="24" t="n">
        <x:v>2019</x:v>
      </x:c>
      <x:c r="C211" s="16">
        <x:v>7511</x:v>
      </x:c>
      <x:c r="D211" s="16">
        <x:v>138</x:v>
      </x:c>
      <x:c r="E211" s="16">
        <x:v>46</x:v>
      </x:c>
      <x:c r="F211" s="16">
        <x:v>16</x:v>
      </x:c>
      <x:c r="G211" s="16">
        <x:v>1</x:v>
      </x:c>
      <x:c r="H211" s="16">
        <x:v>190</x:v>
      </x:c>
      <x:c r="I211" s="16">
        <x:v>19</x:v>
      </x:c>
      <x:c r="J211" s="15" t="inlineStr">
        <x:is>
          <x:t xml:space="preserve">19/127</x:t>
        </x:is>
      </x:c>
      <x:c r="K211" s="1"/>
      <x:c r="L211" s="1"/>
    </x:row>
    <x:row r="212" ht="22" customHeight="1">
      <x:c r="A212" s="92" t="n">
        <x:v>43784</x:v>
      </x:c>
      <x:c r="B212" s="21" t="n">
        <x:v>2019</x:v>
      </x:c>
      <x:c r="C212" s="14">
        <x:v>3733</x:v>
      </x:c>
      <x:c r="D212" s="14">
        <x:v>111</x:v>
      </x:c>
      <x:c r="E212" s="14">
        <x:v>28</x:v>
      </x:c>
      <x:c r="F212" s="14">
        <x:v>17</x:v>
      </x:c>
      <x:c r="G212" s="14">
        <x:v>4</x:v>
      </x:c>
      <x:c r="H212" s="14">
        <x:v>93</x:v>
      </x:c>
      <x:c r="I212" s="14">
        <x:v>13</x:v>
      </x:c>
      <x:c r="J212" s="13" t="inlineStr">
        <x:is>
          <x:t xml:space="preserve">19/128</x:t>
        </x:is>
      </x:c>
      <x:c r="K212" s="1"/>
      <x:c r="L212" s="1"/>
    </x:row>
    <x:row r="213" ht="22" customHeight="1">
      <x:c r="A213" s="93" t="n">
        <x:v>43795</x:v>
      </x:c>
      <x:c r="B213" s="24" t="n">
        <x:v>2019</x:v>
      </x:c>
      <x:c r="C213" s="16">
        <x:v>4165</x:v>
      </x:c>
      <x:c r="D213" s="16">
        <x:v>301</x:v>
      </x:c>
      <x:c r="E213" s="16">
        <x:v>78</x:v>
      </x:c>
      <x:c r="F213" s="16">
        <x:v>47</x:v>
      </x:c>
      <x:c r="G213" s="16">
        <x:v>0</x:v>
      </x:c>
      <x:c r="H213" s="16">
        <x:v>93</x:v>
      </x:c>
      <x:c r="I213" s="16">
        <x:v>32</x:v>
      </x:c>
      <x:c r="J213" s="15" t="inlineStr">
        <x:is>
          <x:t xml:space="preserve">19/129</x:t>
        </x:is>
      </x:c>
      <x:c r="K213" s="1"/>
      <x:c r="L213" s="1"/>
    </x:row>
    <x:row r="214" ht="22" customHeight="1">
      <x:c r="A214" s="92" t="n">
        <x:v>43796</x:v>
      </x:c>
      <x:c r="B214" s="21" t="n">
        <x:v>2019</x:v>
      </x:c>
      <x:c r="C214" s="14">
        <x:v>4396</x:v>
      </x:c>
      <x:c r="D214" s="14">
        <x:v>28</x:v>
      </x:c>
      <x:c r="E214" s="14">
        <x:v>3</x:v>
      </x:c>
      <x:c r="F214" s="14">
        <x:v>2</x:v>
      </x:c>
      <x:c r="G214" s="14">
        <x:v>2</x:v>
      </x:c>
      <x:c r="H214" s="14">
        <x:v>77</x:v>
      </x:c>
      <x:c r="I214" s="14">
        <x:v>11</x:v>
      </x:c>
      <x:c r="J214" s="13" t="inlineStr">
        <x:is>
          <x:t xml:space="preserve">19/130</x:t>
        </x:is>
      </x:c>
      <x:c r="K214" s="1"/>
      <x:c r="L214" s="1"/>
    </x:row>
    <x:row r="215" ht="22" customHeight="1">
      <x:c r="A215" s="93" t="n">
        <x:v>43797</x:v>
      </x:c>
      <x:c r="B215" s="24" t="n">
        <x:v>2019</x:v>
      </x:c>
      <x:c r="C215" s="16">
        <x:v>4243</x:v>
      </x:c>
      <x:c r="D215" s="16">
        <x:v>3</x:v>
      </x:c>
      <x:c r="E215" s="16">
        <x:v>1</x:v>
      </x:c>
      <x:c r="F215" s="16">
        <x:v>0</x:v>
      </x:c>
      <x:c r="G215" s="16">
        <x:v>0</x:v>
      </x:c>
      <x:c r="H215" s="16">
        <x:v>90</x:v>
      </x:c>
      <x:c r="I215" s="16">
        <x:v>2</x:v>
      </x:c>
      <x:c r="J215" s="15" t="inlineStr">
        <x:is>
          <x:t xml:space="preserve">19/131</x:t>
        </x:is>
      </x:c>
      <x:c r="K215" s="1"/>
      <x:c r="L215" s="1"/>
    </x:row>
    <x:row r="216" ht="22" customHeight="1">
      <x:c r="A216" s="92" t="n">
        <x:v>43798</x:v>
      </x:c>
      <x:c r="B216" s="21" t="n">
        <x:v>2019</x:v>
      </x:c>
      <x:c r="C216" s="14">
        <x:v>1662</x:v>
      </x:c>
      <x:c r="D216" s="14">
        <x:v>22</x:v>
      </x:c>
      <x:c r="E216" s="14">
        <x:v>3</x:v>
      </x:c>
      <x:c r="F216" s="14">
        <x:v>4</x:v>
      </x:c>
      <x:c r="G216" s="14">
        <x:v>1</x:v>
      </x:c>
      <x:c r="H216" s="14">
        <x:v>31</x:v>
      </x:c>
      <x:c r="I216" s="14">
        <x:v>6</x:v>
      </x:c>
      <x:c r="J216" s="13" t="inlineStr">
        <x:is>
          <x:t xml:space="preserve">19/132</x:t>
        </x:is>
      </x:c>
      <x:c r="K216" s="1"/>
      <x:c r="L216" s="1"/>
    </x:row>
    <x:row r="217" ht="22" customHeight="1">
      <x:c r="A217" s="93" t="n">
        <x:v>43810</x:v>
      </x:c>
      <x:c r="B217" s="24" t="n">
        <x:v>2019</x:v>
      </x:c>
      <x:c r="C217" s="16">
        <x:v>2492</x:v>
      </x:c>
      <x:c r="D217" s="16">
        <x:v>18</x:v>
      </x:c>
      <x:c r="E217" s="16">
        <x:v>2</x:v>
      </x:c>
      <x:c r="F217" s="16">
        <x:v>2</x:v>
      </x:c>
      <x:c r="G217" s="16">
        <x:v>1</x:v>
      </x:c>
      <x:c r="H217" s="16">
        <x:v>120</x:v>
      </x:c>
      <x:c r="I217" s="16">
        <x:v>11</x:v>
      </x:c>
      <x:c r="J217" s="15" t="inlineStr">
        <x:is>
          <x:t xml:space="preserve">19/133</x:t>
        </x:is>
      </x:c>
      <x:c r="K217" s="1"/>
      <x:c r="L217" s="1"/>
    </x:row>
    <x:row r="218" ht="22" customHeight="1">
      <x:c r="A218" s="92" t="n">
        <x:v>43811</x:v>
      </x:c>
      <x:c r="B218" s="21" t="n">
        <x:v>2019</x:v>
      </x:c>
      <x:c r="C218" s="14">
        <x:v>5083</x:v>
      </x:c>
      <x:c r="D218" s="14">
        <x:v>5</x:v>
      </x:c>
      <x:c r="E218" s="14">
        <x:v>1</x:v>
      </x:c>
      <x:c r="F218" s="14">
        <x:v>1</x:v>
      </x:c>
      <x:c r="G218" s="14">
        <x:v>0</x:v>
      </x:c>
      <x:c r="H218" s="14">
        <x:v>134</x:v>
      </x:c>
      <x:c r="I218" s="14">
        <x:v>5</x:v>
      </x:c>
      <x:c r="J218" s="13" t="inlineStr">
        <x:is>
          <x:t xml:space="preserve">19/134</x:t>
        </x:is>
      </x:c>
      <x:c r="K218" s="1"/>
      <x:c r="L218" s="1"/>
    </x:row>
    <x:row r="219" ht="22" customHeight="1">
      <x:c r="A219" s="93" t="n">
        <x:v>43812</x:v>
      </x:c>
      <x:c r="B219" s="24" t="n">
        <x:v>2019</x:v>
      </x:c>
      <x:c r="C219" s="16">
        <x:v>3826</x:v>
      </x:c>
      <x:c r="D219" s="16">
        <x:v>16</x:v>
      </x:c>
      <x:c r="E219" s="16">
        <x:v>5</x:v>
      </x:c>
      <x:c r="F219" s="16">
        <x:v>4</x:v>
      </x:c>
      <x:c r="G219" s="16">
        <x:v>1</x:v>
      </x:c>
      <x:c r="H219" s="16">
        <x:v>92</x:v>
      </x:c>
      <x:c r="I219" s="16">
        <x:v>10</x:v>
      </x:c>
      <x:c r="J219" s="15" t="inlineStr">
        <x:is>
          <x:t xml:space="preserve">19/135</x:t>
        </x:is>
      </x:c>
      <x:c r="K219" s="1"/>
      <x:c r="L219" s="1"/>
    </x:row>
    <x:row r="220" ht="22" customHeight="1">
      <x:c r="A220" s="92" t="n">
        <x:v>43817</x:v>
      </x:c>
      <x:c r="B220" s="21" t="n">
        <x:v>2019</x:v>
      </x:c>
      <x:c r="C220" s="14">
        <x:v>2559</x:v>
      </x:c>
      <x:c r="D220" s="14">
        <x:v>18</x:v>
      </x:c>
      <x:c r="E220" s="14">
        <x:v>6</x:v>
      </x:c>
      <x:c r="F220" s="14">
        <x:v>1</x:v>
      </x:c>
      <x:c r="G220" s="14">
        <x:v>0</x:v>
      </x:c>
      <x:c r="H220" s="14">
        <x:v>132</x:v>
      </x:c>
      <x:c r="I220" s="14">
        <x:v>8</x:v>
      </x:c>
      <x:c r="J220" s="13" t="inlineStr">
        <x:is>
          <x:t xml:space="preserve">19/136</x:t>
        </x:is>
      </x:c>
      <x:c r="K220" s="1"/>
      <x:c r="L220" s="1"/>
    </x:row>
    <x:row r="221" ht="22" customHeight="1">
      <x:c r="A221" s="93" t="n">
        <x:v>43818</x:v>
      </x:c>
      <x:c r="B221" s="24" t="n">
        <x:v>2019</x:v>
      </x:c>
      <x:c r="C221" s="16">
        <x:v>5897</x:v>
      </x:c>
      <x:c r="D221" s="16">
        <x:v>54</x:v>
      </x:c>
      <x:c r="E221" s="16">
        <x:v>5</x:v>
      </x:c>
      <x:c r="F221" s="16">
        <x:v>8</x:v>
      </x:c>
      <x:c r="G221" s="16">
        <x:v>0</x:v>
      </x:c>
      <x:c r="H221" s="16">
        <x:v>160</x:v>
      </x:c>
      <x:c r="I221" s="16">
        <x:v>20</x:v>
      </x:c>
      <x:c r="J221" s="15" t="inlineStr">
        <x:is>
          <x:t xml:space="preserve">19/137</x:t>
        </x:is>
      </x:c>
      <x:c r="K221" s="1"/>
      <x:c r="L221" s="1"/>
    </x:row>
    <x:row r="222" ht="22" customHeight="1">
      <x:c r="A222" s="92" t="n">
        <x:v>43819</x:v>
      </x:c>
      <x:c r="B222" s="21" t="n">
        <x:v>2019</x:v>
      </x:c>
      <x:c r="C222" s="14">
        <x:v>3091</x:v>
      </x:c>
      <x:c r="D222" s="14">
        <x:v>1</x:v>
      </x:c>
      <x:c r="E222" s="14">
        <x:v>0</x:v>
      </x:c>
      <x:c r="F222" s="14">
        <x:v>0</x:v>
      </x:c>
      <x:c r="G222" s="14">
        <x:v>1</x:v>
      </x:c>
      <x:c r="H222" s="14">
        <x:v>78</x:v>
      </x:c>
      <x:c r="I222" s="14">
        <x:v>1</x:v>
      </x:c>
      <x:c r="J222" s="13" t="inlineStr">
        <x:is>
          <x:t xml:space="preserve">19/138</x:t>
        </x:is>
      </x:c>
      <x:c r="K222" s="1"/>
      <x:c r="L222" s="1"/>
    </x:row>
    <x:row r="223" ht="22" customHeight="1">
      <x:c r="A223" s="93" t="n">
        <x:v>43845</x:v>
      </x:c>
      <x:c r="B223" s="24" t="n">
        <x:v>2020</x:v>
      </x:c>
      <x:c r="C223" s="16">
        <x:v>2328</x:v>
      </x:c>
      <x:c r="D223" s="16">
        <x:v>103</x:v>
      </x:c>
      <x:c r="E223" s="16">
        <x:v>38</x:v>
      </x:c>
      <x:c r="F223" s="16">
        <x:v>8</x:v>
      </x:c>
      <x:c r="G223" s="16">
        <x:v>0</x:v>
      </x:c>
      <x:c r="H223" s="16">
        <x:v>121</x:v>
      </x:c>
      <x:c r="I223" s="16">
        <x:v>13</x:v>
      </x:c>
      <x:c r="J223" s="15" t="inlineStr">
        <x:is>
          <x:t xml:space="preserve">19/139</x:t>
        </x:is>
      </x:c>
      <x:c r="K223" s="1"/>
      <x:c r="L223" s="1"/>
    </x:row>
    <x:row r="224" ht="22" customHeight="1">
      <x:c r="A224" s="92" t="n">
        <x:v>43846</x:v>
      </x:c>
      <x:c r="B224" s="21" t="n">
        <x:v>2020</x:v>
      </x:c>
      <x:c r="C224" s="14">
        <x:v>5725</x:v>
      </x:c>
      <x:c r="D224" s="14">
        <x:v>4</x:v>
      </x:c>
      <x:c r="E224" s="14">
        <x:v>1</x:v>
      </x:c>
      <x:c r="F224" s="14">
        <x:v>1</x:v>
      </x:c>
      <x:c r="G224" s="14">
        <x:v>1</x:v>
      </x:c>
      <x:c r="H224" s="14">
        <x:v>163</x:v>
      </x:c>
      <x:c r="I224" s="14">
        <x:v>3</x:v>
      </x:c>
      <x:c r="J224" s="13" t="inlineStr">
        <x:is>
          <x:t xml:space="preserve">19/140</x:t>
        </x:is>
      </x:c>
      <x:c r="K224" s="1"/>
      <x:c r="L224" s="1"/>
    </x:row>
    <x:row r="225" ht="22" customHeight="1">
      <x:c r="A225" s="93" t="n">
        <x:v>43847</x:v>
      </x:c>
      <x:c r="B225" s="24" t="n">
        <x:v>2020</x:v>
      </x:c>
      <x:c r="C225" s="16">
        <x:v>3807</x:v>
      </x:c>
      <x:c r="D225" s="16">
        <x:v>296</x:v>
      </x:c>
      <x:c r="E225" s="16">
        <x:v>57</x:v>
      </x:c>
      <x:c r="F225" s="16">
        <x:v>58</x:v>
      </x:c>
      <x:c r="G225" s="16">
        <x:v>2</x:v>
      </x:c>
      <x:c r="H225" s="16">
        <x:v>88</x:v>
      </x:c>
      <x:c r="I225" s="16">
        <x:v>24</x:v>
      </x:c>
      <x:c r="J225" s="15" t="inlineStr">
        <x:is>
          <x:t xml:space="preserve">19/141</x:t>
        </x:is>
      </x:c>
      <x:c r="K225" s="1"/>
      <x:c r="L225" s="1"/>
    </x:row>
    <x:row r="226" ht="22" customHeight="1">
      <x:c r="A226" s="92" t="n">
        <x:v>43859</x:v>
      </x:c>
      <x:c r="B226" s="21" t="n">
        <x:v>2020</x:v>
      </x:c>
      <x:c r="C226" s="14">
        <x:v>2784</x:v>
      </x:c>
      <x:c r="D226" s="14">
        <x:v>2</x:v>
      </x:c>
      <x:c r="E226" s="14">
        <x:v>0</x:v>
      </x:c>
      <x:c r="F226" s="14">
        <x:v>0</x:v>
      </x:c>
      <x:c r="G226" s="14">
        <x:v>0</x:v>
      </x:c>
      <x:c r="H226" s="14">
        <x:v>161</x:v>
      </x:c>
      <x:c r="I226" s="14">
        <x:v>1</x:v>
      </x:c>
      <x:c r="J226" s="13" t="inlineStr">
        <x:is>
          <x:t xml:space="preserve">19/142</x:t>
        </x:is>
      </x:c>
      <x:c r="K226" s="1"/>
      <x:c r="L226" s="1"/>
    </x:row>
    <x:row r="227" ht="22" customHeight="1">
      <x:c r="A227" s="93" t="n">
        <x:v>43860</x:v>
      </x:c>
      <x:c r="B227" s="24" t="n">
        <x:v>2020</x:v>
      </x:c>
      <x:c r="C227" s="16">
        <x:v>4026</x:v>
      </x:c>
      <x:c r="D227" s="16">
        <x:v>10</x:v>
      </x:c>
      <x:c r="E227" s="16">
        <x:v>1</x:v>
      </x:c>
      <x:c r="F227" s="16">
        <x:v>3</x:v>
      </x:c>
      <x:c r="G227" s="16">
        <x:v>0</x:v>
      </x:c>
      <x:c r="H227" s="16">
        <x:v>110</x:v>
      </x:c>
      <x:c r="I227" s="16">
        <x:v>5</x:v>
      </x:c>
      <x:c r="J227" s="15" t="inlineStr">
        <x:is>
          <x:t xml:space="preserve">19/143</x:t>
        </x:is>
      </x:c>
      <x:c r="K227" s="1"/>
      <x:c r="L227" s="1"/>
    </x:row>
    <x:row r="228" ht="22" customHeight="1">
      <x:c r="A228" s="92" t="n">
        <x:v>43861</x:v>
      </x:c>
      <x:c r="B228" s="21" t="n">
        <x:v>2020</x:v>
      </x:c>
      <x:c r="C228" s="14">
        <x:v>2828</x:v>
      </x:c>
      <x:c r="D228" s="14">
        <x:v>4</x:v>
      </x:c>
      <x:c r="E228" s="14">
        <x:v>1</x:v>
      </x:c>
      <x:c r="F228" s="14">
        <x:v>3</x:v>
      </x:c>
      <x:c r="G228" s="14">
        <x:v>0</x:v>
      </x:c>
      <x:c r="H228" s="14">
        <x:v>77</x:v>
      </x:c>
      <x:c r="I228" s="14">
        <x:v>3</x:v>
      </x:c>
      <x:c r="J228" s="13" t="inlineStr">
        <x:is>
          <x:t xml:space="preserve">19/144</x:t>
        </x:is>
      </x:c>
      <x:c r="K228" s="1"/>
      <x:c r="L228" s="1"/>
    </x:row>
    <x:row r="229" ht="22" customHeight="1">
      <x:c r="A229" s="93" t="n">
        <x:v>43873</x:v>
      </x:c>
      <x:c r="B229" s="24" t="n">
        <x:v>2020</x:v>
      </x:c>
      <x:c r="C229" s="16">
        <x:v>2239</x:v>
      </x:c>
      <x:c r="D229" s="16">
        <x:v>9</x:v>
      </x:c>
      <x:c r="E229" s="16">
        <x:v>1</x:v>
      </x:c>
      <x:c r="F229" s="16">
        <x:v>4</x:v>
      </x:c>
      <x:c r="G229" s="16">
        <x:v>1</x:v>
      </x:c>
      <x:c r="H229" s="16">
        <x:v>129</x:v>
      </x:c>
      <x:c r="I229" s="16">
        <x:v>8</x:v>
      </x:c>
      <x:c r="J229" s="15" t="inlineStr">
        <x:is>
          <x:t xml:space="preserve">19/145</x:t>
        </x:is>
      </x:c>
      <x:c r="K229" s="1"/>
      <x:c r="L229" s="1"/>
    </x:row>
    <x:row r="230" ht="22" customHeight="1">
      <x:c r="A230" s="92" t="n">
        <x:v>43874</x:v>
      </x:c>
      <x:c r="B230" s="21" t="n">
        <x:v>2020</x:v>
      </x:c>
      <x:c r="C230" s="14">
        <x:v>5169</x:v>
      </x:c>
      <x:c r="D230" s="14">
        <x:v>45</x:v>
      </x:c>
      <x:c r="E230" s="14">
        <x:v>13</x:v>
      </x:c>
      <x:c r="F230" s="14">
        <x:v>12</x:v>
      </x:c>
      <x:c r="G230" s="14">
        <x:v>0</x:v>
      </x:c>
      <x:c r="H230" s="14">
        <x:v>139</x:v>
      </x:c>
      <x:c r="I230" s="14">
        <x:v>14</x:v>
      </x:c>
      <x:c r="J230" s="13" t="inlineStr">
        <x:is>
          <x:t xml:space="preserve">19/146</x:t>
        </x:is>
      </x:c>
      <x:c r="K230" s="1"/>
      <x:c r="L230" s="1"/>
    </x:row>
    <x:row r="231" ht="22" customHeight="1">
      <x:c r="A231" s="93" t="n">
        <x:v>43875</x:v>
      </x:c>
      <x:c r="B231" s="24" t="n">
        <x:v>2020</x:v>
      </x:c>
      <x:c r="C231" s="16">
        <x:v>2802</x:v>
      </x:c>
      <x:c r="D231" s="16">
        <x:v>7</x:v>
      </x:c>
      <x:c r="E231" s="16">
        <x:v>2</x:v>
      </x:c>
      <x:c r="F231" s="16">
        <x:v>1</x:v>
      </x:c>
      <x:c r="G231" s="16">
        <x:v>0</x:v>
      </x:c>
      <x:c r="H231" s="16">
        <x:v>76</x:v>
      </x:c>
      <x:c r="I231" s="16">
        <x:v>4</x:v>
      </x:c>
      <x:c r="J231" s="15" t="inlineStr">
        <x:is>
          <x:t xml:space="preserve">19/147</x:t>
        </x:is>
      </x:c>
      <x:c r="K231" s="1"/>
      <x:c r="L231" s="1"/>
    </x:row>
    <x:row r="232" ht="22" customHeight="1">
      <x:c r="A232" s="92" t="n">
        <x:v>43894</x:v>
      </x:c>
      <x:c r="B232" s="21" t="n">
        <x:v>2020</x:v>
      </x:c>
      <x:c r="C232" s="14">
        <x:v>2733</x:v>
      </x:c>
      <x:c r="D232" s="14">
        <x:v>144</x:v>
      </x:c>
      <x:c r="E232" s="14">
        <x:v>49</x:v>
      </x:c>
      <x:c r="F232" s="14">
        <x:v>20</x:v>
      </x:c>
      <x:c r="G232" s="14">
        <x:v>5</x:v>
      </x:c>
      <x:c r="H232" s="14">
        <x:v>117</x:v>
      </x:c>
      <x:c r="I232" s="14">
        <x:v>51</x:v>
      </x:c>
      <x:c r="J232" s="13" t="inlineStr">
        <x:is>
          <x:t xml:space="preserve">19/148</x:t>
        </x:is>
      </x:c>
      <x:c r="K232" s="1"/>
      <x:c r="L232" s="1"/>
    </x:row>
    <x:row r="233" ht="22" customHeight="1">
      <x:c r="A233" s="93" t="n">
        <x:v>43895</x:v>
      </x:c>
      <x:c r="B233" s="24" t="n">
        <x:v>2020</x:v>
      </x:c>
      <x:c r="C233" s="16">
        <x:v>5074</x:v>
      </x:c>
      <x:c r="D233" s="16">
        <x:v>21</x:v>
      </x:c>
      <x:c r="E233" s="16">
        <x:v>7</x:v>
      </x:c>
      <x:c r="F233" s="16">
        <x:v>6</x:v>
      </x:c>
      <x:c r="G233" s="16">
        <x:v>2</x:v>
      </x:c>
      <x:c r="H233" s="16">
        <x:v>134</x:v>
      </x:c>
      <x:c r="I233" s="16">
        <x:v>12</x:v>
      </x:c>
      <x:c r="J233" s="15" t="inlineStr">
        <x:is>
          <x:t xml:space="preserve">19/149</x:t>
        </x:is>
      </x:c>
      <x:c r="K233" s="1"/>
      <x:c r="L233" s="1"/>
    </x:row>
    <x:row r="234" ht="22" customHeight="1">
      <x:c r="A234" s="92" t="n">
        <x:v>43896</x:v>
      </x:c>
      <x:c r="B234" s="21" t="n">
        <x:v>2020</x:v>
      </x:c>
      <x:c r="C234" s="14">
        <x:v>4024</x:v>
      </x:c>
      <x:c r="D234" s="14">
        <x:v>79</x:v>
      </x:c>
      <x:c r="E234" s="14">
        <x:v>36</x:v>
      </x:c>
      <x:c r="F234" s="14">
        <x:v>8</x:v>
      </x:c>
      <x:c r="G234" s="14">
        <x:v>0</x:v>
      </x:c>
      <x:c r="H234" s="14">
        <x:v>107</x:v>
      </x:c>
      <x:c r="I234" s="14">
        <x:v>11</x:v>
      </x:c>
      <x:c r="J234" s="13" t="inlineStr">
        <x:is>
          <x:t xml:space="preserve">19/150</x:t>
        </x:is>
      </x:c>
      <x:c r="K234" s="1"/>
      <x:c r="L234" s="1"/>
    </x:row>
    <x:row r="235" ht="22" customHeight="1">
      <x:c r="A235" s="93" t="n">
        <x:v>43901</x:v>
      </x:c>
      <x:c r="B235" s="24" t="n">
        <x:v>2020</x:v>
      </x:c>
      <x:c r="C235" s="16">
        <x:v>2065</x:v>
      </x:c>
      <x:c r="D235" s="16">
        <x:v>1</x:v>
      </x:c>
      <x:c r="E235" s="16">
        <x:v>0</x:v>
      </x:c>
      <x:c r="F235" s="16">
        <x:v>0</x:v>
      </x:c>
      <x:c r="G235" s="16">
        <x:v>0</x:v>
      </x:c>
      <x:c r="H235" s="16">
        <x:v>116</x:v>
      </x:c>
      <x:c r="I235" s="16">
        <x:v>1</x:v>
      </x:c>
      <x:c r="J235" s="15" t="inlineStr">
        <x:is>
          <x:t xml:space="preserve">19/151</x:t>
        </x:is>
      </x:c>
      <x:c r="K235" s="1"/>
      <x:c r="L235" s="1"/>
    </x:row>
    <x:row r="236" ht="22" customHeight="1">
      <x:c r="A236" s="92" t="n">
        <x:v>43902</x:v>
      </x:c>
      <x:c r="B236" s="21" t="n">
        <x:v>2020</x:v>
      </x:c>
      <x:c r="C236" s="14">
        <x:v>3675</x:v>
      </x:c>
      <x:c r="D236" s="14">
        <x:v>6</x:v>
      </x:c>
      <x:c r="E236" s="14">
        <x:v>0</x:v>
      </x:c>
      <x:c r="F236" s="14">
        <x:v>1</x:v>
      </x:c>
      <x:c r="G236" s="14">
        <x:v>2</x:v>
      </x:c>
      <x:c r="H236" s="14">
        <x:v>97</x:v>
      </x:c>
      <x:c r="I236" s="14">
        <x:v>6</x:v>
      </x:c>
      <x:c r="J236" s="13" t="inlineStr">
        <x:is>
          <x:t xml:space="preserve">19/152</x:t>
        </x:is>
      </x:c>
      <x:c r="K236" s="1"/>
      <x:c r="L236" s="1"/>
    </x:row>
    <x:row r="237" ht="22" customHeight="1">
      <x:c r="A237" s="93" t="n">
        <x:v>43903</x:v>
      </x:c>
      <x:c r="B237" s="24" t="n">
        <x:v>2020</x:v>
      </x:c>
      <x:c r="C237" s="16">
        <x:v>2731</x:v>
      </x:c>
      <x:c r="D237" s="16">
        <x:v>1</x:v>
      </x:c>
      <x:c r="E237" s="16">
        <x:v>0</x:v>
      </x:c>
      <x:c r="F237" s="16">
        <x:v>0</x:v>
      </x:c>
      <x:c r="G237" s="16">
        <x:v>0</x:v>
      </x:c>
      <x:c r="H237" s="16">
        <x:v>79</x:v>
      </x:c>
      <x:c r="I237" s="16">
        <x:v>1</x:v>
      </x:c>
      <x:c r="J237" s="15" t="inlineStr">
        <x:is>
          <x:t xml:space="preserve">19/153</x:t>
        </x:is>
      </x:c>
      <x:c r="K237" s="1"/>
      <x:c r="L237" s="1"/>
    </x:row>
    <x:row r="238" ht="22" customHeight="1">
      <x:c r="A238" s="92" t="n">
        <x:v>43915</x:v>
      </x:c>
      <x:c r="B238" s="21" t="n">
        <x:v>2020</x:v>
      </x:c>
      <x:c r="C238" s="14">
        <x:v>2351</x:v>
      </x:c>
      <x:c r="D238" s="14">
        <x:v>7</x:v>
      </x:c>
      <x:c r="E238" s="14">
        <x:v>0</x:v>
      </x:c>
      <x:c r="F238" s="14">
        <x:v>0</x:v>
      </x:c>
      <x:c r="G238" s="14">
        <x:v>1</x:v>
      </x:c>
      <x:c r="H238" s="14">
        <x:v>71</x:v>
      </x:c>
      <x:c r="I238" s="14">
        <x:v>7</x:v>
      </x:c>
      <x:c r="J238" s="13" t="inlineStr">
        <x:is>
          <x:t xml:space="preserve">19/154</x:t>
        </x:is>
      </x:c>
      <x:c r="K238" s="1"/>
      <x:c r="L238" s="1"/>
    </x:row>
    <x:row r="239" ht="22" customHeight="1">
      <x:c r="A239" s="93" t="n">
        <x:v>43943</x:v>
      </x:c>
      <x:c r="B239" s="24" t="n">
        <x:v>2020</x:v>
      </x:c>
      <x:c r="C239" s="16">
        <x:v>2092</x:v>
      </x:c>
      <x:c r="D239" s="16">
        <x:v>7</x:v>
      </x:c>
      <x:c r="E239" s="16">
        <x:v>0</x:v>
      </x:c>
      <x:c r="F239" s="16">
        <x:v>2</x:v>
      </x:c>
      <x:c r="G239" s="16">
        <x:v>1</x:v>
      </x:c>
      <x:c r="H239" s="16">
        <x:v>116</x:v>
      </x:c>
      <x:c r="I239" s="16">
        <x:v>6</x:v>
      </x:c>
      <x:c r="J239" s="15" t="inlineStr">
        <x:is>
          <x:t xml:space="preserve">19/155</x:t>
        </x:is>
      </x:c>
      <x:c r="K239" s="1"/>
      <x:c r="L239" s="1"/>
    </x:row>
    <x:row r="240" ht="22" customHeight="1">
      <x:c r="A240" s="92" t="n">
        <x:v>43944</x:v>
      </x:c>
      <x:c r="B240" s="21" t="n">
        <x:v>2020</x:v>
      </x:c>
      <x:c r="C240" s="14">
        <x:v>4405</x:v>
      </x:c>
      <x:c r="D240" s="14">
        <x:v>5</x:v>
      </x:c>
      <x:c r="E240" s="14">
        <x:v>0</x:v>
      </x:c>
      <x:c r="F240" s="14">
        <x:v>0</x:v>
      </x:c>
      <x:c r="G240" s="14">
        <x:v>0</x:v>
      </x:c>
      <x:c r="H240" s="14">
        <x:v>106</x:v>
      </x:c>
      <x:c r="I240" s="14">
        <x:v>5</x:v>
      </x:c>
      <x:c r="J240" s="13" t="inlineStr">
        <x:is>
          <x:t xml:space="preserve">19/156</x:t>
        </x:is>
      </x:c>
      <x:c r="K240" s="1"/>
      <x:c r="L240" s="1"/>
    </x:row>
    <x:row r="241" ht="22" customHeight="1">
      <x:c r="A241" s="93" t="n">
        <x:v>43957</x:v>
      </x:c>
      <x:c r="B241" s="24" t="n">
        <x:v>2020</x:v>
      </x:c>
      <x:c r="C241" s="16">
        <x:v>2491</x:v>
      </x:c>
      <x:c r="D241" s="16">
        <x:v>19</x:v>
      </x:c>
      <x:c r="E241" s="16">
        <x:v>4</x:v>
      </x:c>
      <x:c r="F241" s="16">
        <x:v>2</x:v>
      </x:c>
      <x:c r="G241" s="16">
        <x:v>3</x:v>
      </x:c>
      <x:c r="H241" s="16">
        <x:v>126</x:v>
      </x:c>
      <x:c r="I241" s="16">
        <x:v>12</x:v>
      </x:c>
      <x:c r="J241" s="15" t="inlineStr">
        <x:is>
          <x:t xml:space="preserve">19/157</x:t>
        </x:is>
      </x:c>
      <x:c r="K241" s="1"/>
      <x:c r="L241" s="1"/>
    </x:row>
    <x:row r="242" ht="22" customHeight="1">
      <x:c r="A242" s="92" t="n">
        <x:v>43958</x:v>
      </x:c>
      <x:c r="B242" s="21" t="n">
        <x:v>2020</x:v>
      </x:c>
      <x:c r="C242" s="14">
        <x:v>4987</x:v>
      </x:c>
      <x:c r="D242" s="14">
        <x:v>27</x:v>
      </x:c>
      <x:c r="E242" s="14">
        <x:v>10</x:v>
      </x:c>
      <x:c r="F242" s="14">
        <x:v>7</x:v>
      </x:c>
      <x:c r="G242" s="14">
        <x:v>0</x:v>
      </x:c>
      <x:c r="H242" s="14">
        <x:v>136</x:v>
      </x:c>
      <x:c r="I242" s="14">
        <x:v>10</x:v>
      </x:c>
      <x:c r="J242" s="13" t="inlineStr">
        <x:is>
          <x:t xml:space="preserve">19/158</x:t>
        </x:is>
      </x:c>
      <x:c r="K242" s="1"/>
      <x:c r="L242" s="1"/>
    </x:row>
    <x:row r="243" ht="22" customHeight="1">
      <x:c r="A243" s="93" t="n">
        <x:v>43964</x:v>
      </x:c>
      <x:c r="B243" s="24" t="n">
        <x:v>2020</x:v>
      </x:c>
      <x:c r="C243" s="16">
        <x:v>2539</x:v>
      </x:c>
      <x:c r="D243" s="16">
        <x:v>101</x:v>
      </x:c>
      <x:c r="E243" s="16">
        <x:v>4</x:v>
      </x:c>
      <x:c r="F243" s="16">
        <x:v>16</x:v>
      </x:c>
      <x:c r="G243" s="16">
        <x:v>1</x:v>
      </x:c>
      <x:c r="H243" s="16">
        <x:v>127</x:v>
      </x:c>
      <x:c r="I243" s="16">
        <x:v>23</x:v>
      </x:c>
      <x:c r="J243" s="15" t="inlineStr">
        <x:is>
          <x:t xml:space="preserve">19/159</x:t>
        </x:is>
      </x:c>
      <x:c r="K243" s="1"/>
      <x:c r="L243" s="1"/>
    </x:row>
    <x:row r="244" ht="22" customHeight="1">
      <x:c r="A244" s="92" t="n">
        <x:v>43965</x:v>
      </x:c>
      <x:c r="B244" s="21" t="n">
        <x:v>2020</x:v>
      </x:c>
      <x:c r="C244" s="14">
        <x:v>6181</x:v>
      </x:c>
      <x:c r="D244" s="14">
        <x:v>6</x:v>
      </x:c>
      <x:c r="E244" s="14">
        <x:v>2</x:v>
      </x:c>
      <x:c r="F244" s="14">
        <x:v>3</x:v>
      </x:c>
      <x:c r="G244" s="14">
        <x:v>0</x:v>
      </x:c>
      <x:c r="H244" s="14">
        <x:v>187</x:v>
      </x:c>
      <x:c r="I244" s="14">
        <x:v>5</x:v>
      </x:c>
      <x:c r="J244" s="13" t="inlineStr">
        <x:is>
          <x:t xml:space="preserve">19/160</x:t>
        </x:is>
      </x:c>
      <x:c r="K244" s="1"/>
      <x:c r="L244" s="1"/>
    </x:row>
    <x:row r="245" ht="22" customHeight="1">
      <x:c r="A245" s="93" t="n">
        <x:v>43966</x:v>
      </x:c>
      <x:c r="B245" s="24" t="n">
        <x:v>2020</x:v>
      </x:c>
      <x:c r="C245" s="16">
        <x:v>4387</x:v>
      </x:c>
      <x:c r="D245" s="16">
        <x:v>20</x:v>
      </x:c>
      <x:c r="E245" s="16">
        <x:v>2</x:v>
      </x:c>
      <x:c r="F245" s="16">
        <x:v>8</x:v>
      </x:c>
      <x:c r="G245" s="16">
        <x:v>2</x:v>
      </x:c>
      <x:c r="H245" s="16">
        <x:v>110</x:v>
      </x:c>
      <x:c r="I245" s="16">
        <x:v>14</x:v>
      </x:c>
      <x:c r="J245" s="15" t="inlineStr">
        <x:is>
          <x:t xml:space="preserve">19/161</x:t>
        </x:is>
      </x:c>
      <x:c r="K245" s="1"/>
      <x:c r="L245" s="1"/>
    </x:row>
    <x:row r="246" ht="22" customHeight="1">
      <x:c r="A246" s="92" t="n">
        <x:v>43978</x:v>
      </x:c>
      <x:c r="B246" s="21" t="n">
        <x:v>2020</x:v>
      </x:c>
      <x:c r="C246" s="14">
        <x:v>2482</x:v>
      </x:c>
      <x:c r="D246" s="14">
        <x:v>31</x:v>
      </x:c>
      <x:c r="E246" s="14">
        <x:v>10</x:v>
      </x:c>
      <x:c r="F246" s="14">
        <x:v>5</x:v>
      </x:c>
      <x:c r="G246" s="14">
        <x:v>5</x:v>
      </x:c>
      <x:c r="H246" s="14">
        <x:v>120</x:v>
      </x:c>
      <x:c r="I246" s="14">
        <x:v>16</x:v>
      </x:c>
      <x:c r="J246" s="13" t="inlineStr">
        <x:is>
          <x:t xml:space="preserve">19/162</x:t>
        </x:is>
      </x:c>
      <x:c r="K246" s="1"/>
      <x:c r="L246" s="1"/>
    </x:row>
    <x:row r="247" ht="22" customHeight="1">
      <x:c r="A247" s="93" t="n">
        <x:v>43979</x:v>
      </x:c>
      <x:c r="B247" s="24" t="n">
        <x:v>2020</x:v>
      </x:c>
      <x:c r="C247" s="16">
        <x:v>5038</x:v>
      </x:c>
      <x:c r="D247" s="16">
        <x:v>173</x:v>
      </x:c>
      <x:c r="E247" s="16">
        <x:v>63</x:v>
      </x:c>
      <x:c r="F247" s="16">
        <x:v>29</x:v>
      </x:c>
      <x:c r="G247" s="16">
        <x:v>4</x:v>
      </x:c>
      <x:c r="H247" s="16">
        <x:v>143</x:v>
      </x:c>
      <x:c r="I247" s="16">
        <x:v>23</x:v>
      </x:c>
      <x:c r="J247" s="15" t="inlineStr">
        <x:is>
          <x:t xml:space="preserve">19/163</x:t>
        </x:is>
      </x:c>
      <x:c r="K247" s="1"/>
      <x:c r="L247" s="1"/>
    </x:row>
    <x:row r="248" ht="22" customHeight="1">
      <x:c r="A248" s="92" t="n">
        <x:v>43980</x:v>
      </x:c>
      <x:c r="B248" s="21" t="n">
        <x:v>2020</x:v>
      </x:c>
      <x:c r="C248" s="14">
        <x:v>3898</x:v>
      </x:c>
      <x:c r="D248" s="14">
        <x:v>15</x:v>
      </x:c>
      <x:c r="E248" s="14">
        <x:v>2</x:v>
      </x:c>
      <x:c r="F248" s="14">
        <x:v>0</x:v>
      </x:c>
      <x:c r="G248" s="14">
        <x:v>1</x:v>
      </x:c>
      <x:c r="H248" s="14">
        <x:v>100</x:v>
      </x:c>
      <x:c r="I248" s="14">
        <x:v>12</x:v>
      </x:c>
      <x:c r="J248" s="13" t="inlineStr">
        <x:is>
          <x:t xml:space="preserve">19/164</x:t>
        </x:is>
      </x:c>
      <x:c r="K248" s="1"/>
      <x:c r="L248" s="1"/>
    </x:row>
    <x:row r="249" ht="22" customHeight="1">
      <x:c r="A249" s="93" t="n">
        <x:v>43999</x:v>
      </x:c>
      <x:c r="B249" s="24" t="n">
        <x:v>2020</x:v>
      </x:c>
      <x:c r="C249" s="16">
        <x:v>2763</x:v>
      </x:c>
      <x:c r="D249" s="16">
        <x:v>7</x:v>
      </x:c>
      <x:c r="E249" s="16">
        <x:v>0</x:v>
      </x:c>
      <x:c r="F249" s="16">
        <x:v>1</x:v>
      </x:c>
      <x:c r="G249" s="16">
        <x:v>2</x:v>
      </x:c>
      <x:c r="H249" s="16">
        <x:v>139</x:v>
      </x:c>
      <x:c r="I249" s="16">
        <x:v>4</x:v>
      </x:c>
      <x:c r="J249" s="15" t="inlineStr">
        <x:is>
          <x:t xml:space="preserve">19/165</x:t>
        </x:is>
      </x:c>
      <x:c r="K249" s="1"/>
      <x:c r="L249" s="1"/>
    </x:row>
    <x:row r="250" ht="22" customHeight="1">
      <x:c r="A250" s="92" t="n">
        <x:v>44000</x:v>
      </x:c>
      <x:c r="B250" s="21" t="n">
        <x:v>2020</x:v>
      </x:c>
      <x:c r="C250" s="14">
        <x:v>5994</x:v>
      </x:c>
      <x:c r="D250" s="14">
        <x:v>12</x:v>
      </x:c>
      <x:c r="E250" s="14">
        <x:v>1</x:v>
      </x:c>
      <x:c r="F250" s="14">
        <x:v>2</x:v>
      </x:c>
      <x:c r="G250" s="14">
        <x:v>1</x:v>
      </x:c>
      <x:c r="H250" s="14">
        <x:v>169</x:v>
      </x:c>
      <x:c r="I250" s="14">
        <x:v>12</x:v>
      </x:c>
      <x:c r="J250" s="13" t="inlineStr">
        <x:is>
          <x:t xml:space="preserve">19/166</x:t>
        </x:is>
      </x:c>
      <x:c r="K250" s="1"/>
      <x:c r="L250" s="1"/>
    </x:row>
    <x:row r="251" ht="22" customHeight="1">
      <x:c r="A251" s="93" t="n">
        <x:v>44001</x:v>
      </x:c>
      <x:c r="B251" s="24" t="n">
        <x:v>2020</x:v>
      </x:c>
      <x:c r="C251" s="16">
        <x:v>4239</x:v>
      </x:c>
      <x:c r="D251" s="16">
        <x:v>10</x:v>
      </x:c>
      <x:c r="E251" s="16">
        <x:v>0</x:v>
      </x:c>
      <x:c r="F251" s="16">
        <x:v>4</x:v>
      </x:c>
      <x:c r="G251" s="16">
        <x:v>0</x:v>
      </x:c>
      <x:c r="H251" s="16">
        <x:v>107</x:v>
      </x:c>
      <x:c r="I251" s="16">
        <x:v>9</x:v>
      </x:c>
      <x:c r="J251" s="15" t="inlineStr">
        <x:is>
          <x:t xml:space="preserve">19/167</x:t>
        </x:is>
      </x:c>
      <x:c r="K251" s="1"/>
      <x:c r="L251" s="1"/>
    </x:row>
    <x:row r="252" ht="22" customHeight="1">
      <x:c r="A252" s="92" t="n">
        <x:v>44011</x:v>
      </x:c>
      <x:c r="B252" s="21" t="n">
        <x:v>2020</x:v>
      </x:c>
      <x:c r="C252" s="14">
        <x:v>679</x:v>
      </x:c>
      <x:c r="D252" s="14">
        <x:v>3</x:v>
      </x:c>
      <x:c r="E252" s="14">
        <x:v>0</x:v>
      </x:c>
      <x:c r="F252" s="14">
        <x:v>3</x:v>
      </x:c>
      <x:c r="G252" s="14">
        <x:v>0</x:v>
      </x:c>
      <x:c r="H252" s="14">
        <x:v>20</x:v>
      </x:c>
      <x:c r="I252" s="14">
        <x:v>2</x:v>
      </x:c>
      <x:c r="J252" s="13" t="inlineStr">
        <x:is>
          <x:t xml:space="preserve">19/168</x:t>
        </x:is>
      </x:c>
      <x:c r="K252" s="1"/>
      <x:c r="L252" s="1"/>
    </x:row>
    <x:row r="253" ht="22" customHeight="1">
      <x:c r="A253" s="93" t="n">
        <x:v>44013</x:v>
      </x:c>
      <x:c r="B253" s="24" t="n">
        <x:v>2020</x:v>
      </x:c>
      <x:c r="C253" s="16">
        <x:v>2491</x:v>
      </x:c>
      <x:c r="D253" s="16">
        <x:v>25</x:v>
      </x:c>
      <x:c r="E253" s="16">
        <x:v>6</x:v>
      </x:c>
      <x:c r="F253" s="16">
        <x:v>10</x:v>
      </x:c>
      <x:c r="G253" s="16">
        <x:v>0</x:v>
      </x:c>
      <x:c r="H253" s="16">
        <x:v>127</x:v>
      </x:c>
      <x:c r="I253" s="16">
        <x:v>7</x:v>
      </x:c>
      <x:c r="J253" s="15" t="inlineStr">
        <x:is>
          <x:t xml:space="preserve">19/169</x:t>
        </x:is>
      </x:c>
      <x:c r="K253" s="1"/>
      <x:c r="L253" s="1"/>
    </x:row>
    <x:row r="254" ht="22" customHeight="1">
      <x:c r="A254" s="92" t="n">
        <x:v>44014</x:v>
      </x:c>
      <x:c r="B254" s="21" t="n">
        <x:v>2020</x:v>
      </x:c>
      <x:c r="C254" s="14">
        <x:v>6881</x:v>
      </x:c>
      <x:c r="D254" s="14">
        <x:v>99</x:v>
      </x:c>
      <x:c r="E254" s="14">
        <x:v>10</x:v>
      </x:c>
      <x:c r="F254" s="14">
        <x:v>19</x:v>
      </x:c>
      <x:c r="G254" s="14">
        <x:v>1</x:v>
      </x:c>
      <x:c r="H254" s="14">
        <x:v>181</x:v>
      </x:c>
      <x:c r="I254" s="14">
        <x:v>27</x:v>
      </x:c>
      <x:c r="J254" s="13" t="inlineStr">
        <x:is>
          <x:t xml:space="preserve">19/170</x:t>
        </x:is>
      </x:c>
      <x:c r="K254" s="1"/>
      <x:c r="L254" s="1"/>
    </x:row>
    <x:row r="255" ht="22" customHeight="1">
      <x:c r="A255" s="93" t="n">
        <x:v>44015</x:v>
      </x:c>
      <x:c r="B255" s="24" t="n">
        <x:v>2020</x:v>
      </x:c>
      <x:c r="C255" s="16">
        <x:v>4272</x:v>
      </x:c>
      <x:c r="D255" s="16">
        <x:v>123</x:v>
      </x:c>
      <x:c r="E255" s="16">
        <x:v>53</x:v>
      </x:c>
      <x:c r="F255" s="16">
        <x:v>23</x:v>
      </x:c>
      <x:c r="G255" s="16">
        <x:v>0</x:v>
      </x:c>
      <x:c r="H255" s="16">
        <x:v>111</x:v>
      </x:c>
      <x:c r="I255" s="16">
        <x:v>17</x:v>
      </x:c>
      <x:c r="J255" s="15" t="inlineStr">
        <x:is>
          <x:t xml:space="preserve">19/171</x:t>
        </x:is>
      </x:c>
      <x:c r="K255" s="1"/>
      <x:c r="L255" s="1"/>
    </x:row>
    <x:row r="256" ht="22" customHeight="1">
      <x:c r="A256" s="92" t="n">
        <x:v>44083</x:v>
      </x:c>
      <x:c r="B256" s="21" t="n">
        <x:v>2020</x:v>
      </x:c>
      <x:c r="C256" s="14">
        <x:v>2483</x:v>
      </x:c>
      <x:c r="D256" s="14">
        <x:v>0</x:v>
      </x:c>
      <x:c r="E256" s="14">
        <x:v>0</x:v>
      </x:c>
      <x:c r="F256" s="14">
        <x:v>0</x:v>
      </x:c>
      <x:c r="G256" s="14">
        <x:v>0</x:v>
      </x:c>
      <x:c r="H256" s="14">
        <x:v>124</x:v>
      </x:c>
      <x:c r="I256" s="14">
        <x:v>0</x:v>
      </x:c>
      <x:c r="J256" s="13"/>
      <x:c r="K256" s="1"/>
      <x:c r="L256" s="1"/>
    </x:row>
    <x:row r="257" ht="22" customHeight="1">
      <x:c r="A257" s="93" t="n">
        <x:v>44084</x:v>
      </x:c>
      <x:c r="B257" s="24" t="n">
        <x:v>2020</x:v>
      </x:c>
      <x:c r="C257" s="16">
        <x:v>6149</x:v>
      </x:c>
      <x:c r="D257" s="16">
        <x:v>171</x:v>
      </x:c>
      <x:c r="E257" s="16">
        <x:v>40</x:v>
      </x:c>
      <x:c r="F257" s="16">
        <x:v>22</x:v>
      </x:c>
      <x:c r="G257" s="16">
        <x:v>0</x:v>
      </x:c>
      <x:c r="H257" s="16">
        <x:v>171</x:v>
      </x:c>
      <x:c r="I257" s="16">
        <x:v>26</x:v>
      </x:c>
      <x:c r="J257" s="15" t="inlineStr">
        <x:is>
          <x:t xml:space="preserve">19/173</x:t>
        </x:is>
      </x:c>
      <x:c r="K257" s="1"/>
      <x:c r="L257" s="1"/>
    </x:row>
    <x:row r="258" ht="22" customHeight="1">
      <x:c r="A258" s="92" t="n">
        <x:v>44085</x:v>
      </x:c>
      <x:c r="B258" s="21" t="n">
        <x:v>2020</x:v>
      </x:c>
      <x:c r="C258" s="14">
        <x:v>4165</x:v>
      </x:c>
      <x:c r="D258" s="14">
        <x:v>4</x:v>
      </x:c>
      <x:c r="E258" s="14">
        <x:v>0</x:v>
      </x:c>
      <x:c r="F258" s="14">
        <x:v>0</x:v>
      </x:c>
      <x:c r="G258" s="14">
        <x:v>1</x:v>
      </x:c>
      <x:c r="H258" s="14">
        <x:v>109</x:v>
      </x:c>
      <x:c r="I258" s="14">
        <x:v>4</x:v>
      </x:c>
      <x:c r="J258" s="13" t="inlineStr">
        <x:is>
          <x:t xml:space="preserve">19/174</x:t>
        </x:is>
      </x:c>
      <x:c r="K258" s="1"/>
      <x:c r="L258" s="1"/>
    </x:row>
    <x:row r="259" ht="22" customHeight="1">
      <x:c r="A259" s="93" t="n">
        <x:v>44090</x:v>
      </x:c>
      <x:c r="B259" s="24" t="n">
        <x:v>2020</x:v>
      </x:c>
      <x:c r="C259" s="16">
        <x:v>2775</x:v>
      </x:c>
      <x:c r="D259" s="16">
        <x:v>13</x:v>
      </x:c>
      <x:c r="E259" s="16">
        <x:v>6</x:v>
      </x:c>
      <x:c r="F259" s="16">
        <x:v>6</x:v>
      </x:c>
      <x:c r="G259" s="16">
        <x:v>0</x:v>
      </x:c>
      <x:c r="H259" s="16">
        <x:v>126</x:v>
      </x:c>
      <x:c r="I259" s="16">
        <x:v>8</x:v>
      </x:c>
      <x:c r="J259" s="15" t="inlineStr">
        <x:is>
          <x:t xml:space="preserve">19/175</x:t>
        </x:is>
      </x:c>
      <x:c r="K259" s="1"/>
      <x:c r="L259" s="1"/>
    </x:row>
    <x:row r="260" ht="22" customHeight="1">
      <x:c r="A260" s="92" t="n">
        <x:v>44091</x:v>
      </x:c>
      <x:c r="B260" s="21" t="n">
        <x:v>2020</x:v>
      </x:c>
      <x:c r="C260" s="14">
        <x:v>6224</x:v>
      </x:c>
      <x:c r="D260" s="14">
        <x:v>238</x:v>
      </x:c>
      <x:c r="E260" s="14">
        <x:v>42</x:v>
      </x:c>
      <x:c r="F260" s="14">
        <x:v>40</x:v>
      </x:c>
      <x:c r="G260" s="14">
        <x:v>5</x:v>
      </x:c>
      <x:c r="H260" s="14">
        <x:v>172</x:v>
      </x:c>
      <x:c r="I260" s="14">
        <x:v>40</x:v>
      </x:c>
      <x:c r="J260" s="13" t="inlineStr">
        <x:is>
          <x:t xml:space="preserve">19/176</x:t>
        </x:is>
      </x:c>
      <x:c r="K260" s="1"/>
      <x:c r="L260" s="1"/>
    </x:row>
    <x:row r="261" ht="22" customHeight="1">
      <x:c r="A261" s="93" t="n">
        <x:v>44092</x:v>
      </x:c>
      <x:c r="B261" s="24" t="n">
        <x:v>2020</x:v>
      </x:c>
      <x:c r="C261" s="16">
        <x:v>5507</x:v>
      </x:c>
      <x:c r="D261" s="16">
        <x:v>0</x:v>
      </x:c>
      <x:c r="E261" s="16">
        <x:v>0</x:v>
      </x:c>
      <x:c r="F261" s="16">
        <x:v>0</x:v>
      </x:c>
      <x:c r="G261" s="16">
        <x:v>0</x:v>
      </x:c>
      <x:c r="H261" s="16">
        <x:v>147</x:v>
      </x:c>
      <x:c r="I261" s="16">
        <x:v>0</x:v>
      </x:c>
      <x:c r="J261" s="15"/>
      <x:c r="K261" s="1"/>
      <x:c r="L261" s="1"/>
    </x:row>
    <x:row r="262" ht="22" customHeight="1">
      <x:c r="A262" s="92" t="n">
        <x:v>44103</x:v>
      </x:c>
      <x:c r="B262" s="21" t="n">
        <x:v>2020</x:v>
      </x:c>
      <x:c r="C262" s="14">
        <x:v>3715</x:v>
      </x:c>
      <x:c r="D262" s="14">
        <x:v>289</x:v>
      </x:c>
      <x:c r="E262" s="14">
        <x:v>73</x:v>
      </x:c>
      <x:c r="F262" s="14">
        <x:v>42</x:v>
      </x:c>
      <x:c r="G262" s="14">
        <x:v>6</x:v>
      </x:c>
      <x:c r="H262" s="14">
        <x:v>73</x:v>
      </x:c>
      <x:c r="I262" s="14">
        <x:v>23</x:v>
      </x:c>
      <x:c r="J262" s="13" t="inlineStr">
        <x:is>
          <x:t xml:space="preserve">19/178</x:t>
        </x:is>
      </x:c>
      <x:c r="K262" s="1"/>
      <x:c r="L262" s="1"/>
    </x:row>
    <x:row r="263" ht="22" customHeight="1">
      <x:c r="A263" s="93" t="n">
        <x:v>44104</x:v>
      </x:c>
      <x:c r="B263" s="24" t="n">
        <x:v>2020</x:v>
      </x:c>
      <x:c r="C263" s="16">
        <x:v>3919</x:v>
      </x:c>
      <x:c r="D263" s="16">
        <x:v>7</x:v>
      </x:c>
      <x:c r="E263" s="16">
        <x:v>0</x:v>
      </x:c>
      <x:c r="F263" s="16">
        <x:v>1</x:v>
      </x:c>
      <x:c r="G263" s="16">
        <x:v>3</x:v>
      </x:c>
      <x:c r="H263" s="16">
        <x:v>72</x:v>
      </x:c>
      <x:c r="I263" s="16">
        <x:v>6</x:v>
      </x:c>
      <x:c r="J263" s="15" t="inlineStr">
        <x:is>
          <x:t xml:space="preserve">19/179</x:t>
        </x:is>
      </x:c>
      <x:c r="K263" s="1"/>
      <x:c r="L263" s="1"/>
    </x:row>
    <x:row r="264" ht="22" customHeight="1">
      <x:c r="A264" s="92" t="n">
        <x:v>44105</x:v>
      </x:c>
      <x:c r="B264" s="21" t="n">
        <x:v>2020</x:v>
      </x:c>
      <x:c r="C264" s="14">
        <x:v>5030</x:v>
      </x:c>
      <x:c r="D264" s="14">
        <x:v>1</x:v>
      </x:c>
      <x:c r="E264" s="14">
        <x:v>0</x:v>
      </x:c>
      <x:c r="F264" s="14">
        <x:v>0</x:v>
      </x:c>
      <x:c r="G264" s="14">
        <x:v>0</x:v>
      </x:c>
      <x:c r="H264" s="14">
        <x:v>110</x:v>
      </x:c>
      <x:c r="I264" s="14">
        <x:v>1</x:v>
      </x:c>
      <x:c r="J264" s="13" t="inlineStr">
        <x:is>
          <x:t xml:space="preserve">19/180</x:t>
        </x:is>
      </x:c>
      <x:c r="K264" s="1"/>
      <x:c r="L264" s="1"/>
    </x:row>
    <x:row r="265" ht="22" customHeight="1">
      <x:c r="A265" s="93" t="n">
        <x:v>44106</x:v>
      </x:c>
      <x:c r="B265" s="24" t="n">
        <x:v>2020</x:v>
      </x:c>
      <x:c r="C265" s="16">
        <x:v>2657</x:v>
      </x:c>
      <x:c r="D265" s="16">
        <x:v>7</x:v>
      </x:c>
      <x:c r="E265" s="16">
        <x:v>0</x:v>
      </x:c>
      <x:c r="F265" s="16">
        <x:v>0</x:v>
      </x:c>
      <x:c r="G265" s="16">
        <x:v>0</x:v>
      </x:c>
      <x:c r="H265" s="16">
        <x:v>52</x:v>
      </x:c>
      <x:c r="I265" s="16">
        <x:v>6</x:v>
      </x:c>
      <x:c r="J265" s="15" t="inlineStr">
        <x:is>
          <x:t xml:space="preserve">19/181</x:t>
        </x:is>
      </x:c>
      <x:c r="K265" s="1"/>
      <x:c r="L265" s="1"/>
    </x:row>
    <x:row r="266" ht="22" customHeight="1">
      <x:c r="A266" s="92" t="n">
        <x:v>44111</x:v>
      </x:c>
      <x:c r="B266" s="21" t="n">
        <x:v>2020</x:v>
      </x:c>
      <x:c r="C266" s="14">
        <x:v>2503</x:v>
      </x:c>
      <x:c r="D266" s="14">
        <x:v>1</x:v>
      </x:c>
      <x:c r="E266" s="14">
        <x:v>0</x:v>
      </x:c>
      <x:c r="F266" s="14">
        <x:v>0</x:v>
      </x:c>
      <x:c r="G266" s="14">
        <x:v>0</x:v>
      </x:c>
      <x:c r="H266" s="14">
        <x:v>119</x:v>
      </x:c>
      <x:c r="I266" s="14">
        <x:v>1</x:v>
      </x:c>
      <x:c r="J266" s="13" t="inlineStr">
        <x:is>
          <x:t xml:space="preserve">19/182</x:t>
        </x:is>
      </x:c>
      <x:c r="K266" s="1"/>
      <x:c r="L266" s="1"/>
    </x:row>
    <x:row r="267" ht="22" customHeight="1">
      <x:c r="A267" s="93" t="n">
        <x:v>44112</x:v>
      </x:c>
      <x:c r="B267" s="24" t="n">
        <x:v>2020</x:v>
      </x:c>
      <x:c r="C267" s="16">
        <x:v>5971</x:v>
      </x:c>
      <x:c r="D267" s="16">
        <x:v>106</x:v>
      </x:c>
      <x:c r="E267" s="16">
        <x:v>19</x:v>
      </x:c>
      <x:c r="F267" s="16">
        <x:v>29</x:v>
      </x:c>
      <x:c r="G267" s="16">
        <x:v>5</x:v>
      </x:c>
      <x:c r="H267" s="16">
        <x:v>170</x:v>
      </x:c>
      <x:c r="I267" s="16">
        <x:v>21</x:v>
      </x:c>
      <x:c r="J267" s="15" t="inlineStr">
        <x:is>
          <x:t xml:space="preserve">19/183</x:t>
        </x:is>
      </x:c>
      <x:c r="K267" s="1"/>
      <x:c r="L267" s="1"/>
    </x:row>
    <x:row r="268" ht="22" customHeight="1">
      <x:c r="A268" s="92" t="n">
        <x:v>44113</x:v>
      </x:c>
      <x:c r="B268" s="21" t="n">
        <x:v>2020</x:v>
      </x:c>
      <x:c r="C268" s="14">
        <x:v>3648</x:v>
      </x:c>
      <x:c r="D268" s="14">
        <x:v>7</x:v>
      </x:c>
      <x:c r="E268" s="14">
        <x:v>0</x:v>
      </x:c>
      <x:c r="F268" s="14">
        <x:v>2</x:v>
      </x:c>
      <x:c r="G268" s="14">
        <x:v>0</x:v>
      </x:c>
      <x:c r="H268" s="14">
        <x:v>100</x:v>
      </x:c>
      <x:c r="I268" s="14">
        <x:v>5</x:v>
      </x:c>
      <x:c r="J268" s="13" t="inlineStr">
        <x:is>
          <x:t xml:space="preserve">19/184</x:t>
        </x:is>
      </x:c>
      <x:c r="K268" s="1"/>
      <x:c r="L268" s="1"/>
    </x:row>
    <x:row r="269" ht="22" customHeight="1">
      <x:c r="A269" s="93" t="n">
        <x:v>44132</x:v>
      </x:c>
      <x:c r="B269" s="24" t="n">
        <x:v>2020</x:v>
      </x:c>
      <x:c r="C269" s="16">
        <x:v>2466</x:v>
      </x:c>
      <x:c r="D269" s="16">
        <x:v>223</x:v>
      </x:c>
      <x:c r="E269" s="16">
        <x:v>76</x:v>
      </x:c>
      <x:c r="F269" s="16">
        <x:v>43</x:v>
      </x:c>
      <x:c r="G269" s="16">
        <x:v>10</x:v>
      </x:c>
      <x:c r="H269" s="16">
        <x:v>118</x:v>
      </x:c>
      <x:c r="I269" s="16">
        <x:v>15</x:v>
      </x:c>
      <x:c r="J269" s="15" t="inlineStr">
        <x:is>
          <x:t xml:space="preserve">19/185</x:t>
        </x:is>
      </x:c>
      <x:c r="K269" s="1"/>
      <x:c r="L269" s="1"/>
    </x:row>
    <x:row r="270" ht="22" customHeight="1">
      <x:c r="A270" s="92" t="n">
        <x:v>44133</x:v>
      </x:c>
      <x:c r="B270" s="21" t="n">
        <x:v>2020</x:v>
      </x:c>
      <x:c r="C270" s="14">
        <x:v>6027</x:v>
      </x:c>
      <x:c r="D270" s="14">
        <x:v>14</x:v>
      </x:c>
      <x:c r="E270" s="14">
        <x:v>1</x:v>
      </x:c>
      <x:c r="F270" s="14">
        <x:v>2</x:v>
      </x:c>
      <x:c r="G270" s="14">
        <x:v>1</x:v>
      </x:c>
      <x:c r="H270" s="14">
        <x:v>155</x:v>
      </x:c>
      <x:c r="I270" s="14">
        <x:v>9</x:v>
      </x:c>
      <x:c r="J270" s="13" t="inlineStr">
        <x:is>
          <x:t xml:space="preserve">19/186</x:t>
        </x:is>
      </x:c>
      <x:c r="K270" s="1"/>
      <x:c r="L270" s="1"/>
    </x:row>
    <x:row r="271" ht="22" customHeight="1">
      <x:c r="A271" s="93" t="n">
        <x:v>44134</x:v>
      </x:c>
      <x:c r="B271" s="24" t="n">
        <x:v>2020</x:v>
      </x:c>
      <x:c r="C271" s="16">
        <x:v>3713</x:v>
      </x:c>
      <x:c r="D271" s="16">
        <x:v>2</x:v>
      </x:c>
      <x:c r="E271" s="16">
        <x:v>0</x:v>
      </x:c>
      <x:c r="F271" s="16">
        <x:v>0</x:v>
      </x:c>
      <x:c r="G271" s="16">
        <x:v>0</x:v>
      </x:c>
      <x:c r="H271" s="16">
        <x:v>96</x:v>
      </x:c>
      <x:c r="I271" s="16">
        <x:v>2</x:v>
      </x:c>
      <x:c r="J271" s="15" t="inlineStr">
        <x:is>
          <x:t xml:space="preserve">19/187</x:t>
        </x:is>
      </x:c>
      <x:c r="K271" s="1"/>
      <x:c r="L271" s="1"/>
    </x:row>
    <x:row r="272" ht="22" customHeight="1">
      <x:c r="A272" s="92" t="n">
        <x:v>44139</x:v>
      </x:c>
      <x:c r="B272" s="21" t="n">
        <x:v>2020</x:v>
      </x:c>
      <x:c r="C272" s="14">
        <x:v>2015</x:v>
      </x:c>
      <x:c r="D272" s="14">
        <x:v>3</x:v>
      </x:c>
      <x:c r="E272" s="14">
        <x:v>2</x:v>
      </x:c>
      <x:c r="F272" s="14">
        <x:v>0</x:v>
      </x:c>
      <x:c r="G272" s="14">
        <x:v>0</x:v>
      </x:c>
      <x:c r="H272" s="14">
        <x:v>110</x:v>
      </x:c>
      <x:c r="I272" s="14">
        <x:v>3</x:v>
      </x:c>
      <x:c r="J272" s="13" t="inlineStr">
        <x:is>
          <x:t xml:space="preserve">19/188</x:t>
        </x:is>
      </x:c>
      <x:c r="K272" s="1"/>
      <x:c r="L272" s="1"/>
    </x:row>
    <x:row r="273" ht="22" customHeight="1">
      <x:c r="A273" s="93" t="n">
        <x:v>44140</x:v>
      </x:c>
      <x:c r="B273" s="24" t="n">
        <x:v>2020</x:v>
      </x:c>
      <x:c r="C273" s="16">
        <x:v>6090</x:v>
      </x:c>
      <x:c r="D273" s="16">
        <x:v>35</x:v>
      </x:c>
      <x:c r="E273" s="16">
        <x:v>5</x:v>
      </x:c>
      <x:c r="F273" s="16">
        <x:v>6</x:v>
      </x:c>
      <x:c r="G273" s="16">
        <x:v>4</x:v>
      </x:c>
      <x:c r="H273" s="16">
        <x:v>172</x:v>
      </x:c>
      <x:c r="I273" s="16">
        <x:v>14</x:v>
      </x:c>
      <x:c r="J273" s="15" t="inlineStr">
        <x:is>
          <x:t xml:space="preserve">19/189</x:t>
        </x:is>
      </x:c>
      <x:c r="K273" s="1"/>
      <x:c r="L273" s="1"/>
    </x:row>
    <x:row r="274" ht="22" customHeight="1">
      <x:c r="A274" s="92" t="n">
        <x:v>44141</x:v>
      </x:c>
      <x:c r="B274" s="21" t="n">
        <x:v>2020</x:v>
      </x:c>
      <x:c r="C274" s="14">
        <x:v>3129</x:v>
      </x:c>
      <x:c r="D274" s="14">
        <x:v>4</x:v>
      </x:c>
      <x:c r="E274" s="14">
        <x:v>0</x:v>
      </x:c>
      <x:c r="F274" s="14">
        <x:v>1</x:v>
      </x:c>
      <x:c r="G274" s="14">
        <x:v>0</x:v>
      </x:c>
      <x:c r="H274" s="14">
        <x:v>83</x:v>
      </x:c>
      <x:c r="I274" s="14">
        <x:v>3</x:v>
      </x:c>
      <x:c r="J274" s="13" t="inlineStr">
        <x:is>
          <x:t xml:space="preserve">19/190</x:t>
        </x:is>
      </x:c>
      <x:c r="K274" s="1"/>
      <x:c r="L274" s="1"/>
    </x:row>
    <x:row r="275" ht="22" customHeight="1">
      <x:c r="A275" s="93" t="n">
        <x:v>44153</x:v>
      </x:c>
      <x:c r="B275" s="24" t="n">
        <x:v>2020</x:v>
      </x:c>
      <x:c r="C275" s="16">
        <x:v>3089</x:v>
      </x:c>
      <x:c r="D275" s="16">
        <x:v>13</x:v>
      </x:c>
      <x:c r="E275" s="16">
        <x:v>0</x:v>
      </x:c>
      <x:c r="F275" s="16">
        <x:v>1</x:v>
      </x:c>
      <x:c r="G275" s="16">
        <x:v>0</x:v>
      </x:c>
      <x:c r="H275" s="16">
        <x:v>151</x:v>
      </x:c>
      <x:c r="I275" s="16">
        <x:v>7</x:v>
      </x:c>
      <x:c r="J275" s="15" t="inlineStr">
        <x:is>
          <x:t xml:space="preserve">19/191</x:t>
        </x:is>
      </x:c>
      <x:c r="K275" s="1"/>
      <x:c r="L275" s="1"/>
    </x:row>
    <x:row r="276" ht="22" customHeight="1">
      <x:c r="A276" s="92" t="n">
        <x:v>44154</x:v>
      </x:c>
      <x:c r="B276" s="21" t="n">
        <x:v>2020</x:v>
      </x:c>
      <x:c r="C276" s="14">
        <x:v>5729</x:v>
      </x:c>
      <x:c r="D276" s="14">
        <x:v>41</x:v>
      </x:c>
      <x:c r="E276" s="14">
        <x:v>8</x:v>
      </x:c>
      <x:c r="F276" s="14">
        <x:v>4</x:v>
      </x:c>
      <x:c r="G276" s="14">
        <x:v>1</x:v>
      </x:c>
      <x:c r="H276" s="14">
        <x:v>156</x:v>
      </x:c>
      <x:c r="I276" s="14">
        <x:v>11</x:v>
      </x:c>
      <x:c r="J276" s="13" t="inlineStr">
        <x:is>
          <x:t xml:space="preserve">19/192</x:t>
        </x:is>
      </x:c>
      <x:c r="K276" s="1"/>
      <x:c r="L276" s="1"/>
    </x:row>
    <x:row r="277" ht="22" customHeight="1">
      <x:c r="A277" s="93" t="n">
        <x:v>44155</x:v>
      </x:c>
      <x:c r="B277" s="24" t="n">
        <x:v>2020</x:v>
      </x:c>
      <x:c r="C277" s="16">
        <x:v>3307</x:v>
      </x:c>
      <x:c r="D277" s="16">
        <x:v>7</x:v>
      </x:c>
      <x:c r="E277" s="16">
        <x:v>0</x:v>
      </x:c>
      <x:c r="F277" s="16">
        <x:v>1</x:v>
      </x:c>
      <x:c r="G277" s="16">
        <x:v>0</x:v>
      </x:c>
      <x:c r="H277" s="16">
        <x:v>88</x:v>
      </x:c>
      <x:c r="I277" s="16">
        <x:v>5</x:v>
      </x:c>
      <x:c r="J277" s="15" t="inlineStr">
        <x:is>
          <x:t xml:space="preserve">19/193</x:t>
        </x:is>
      </x:c>
      <x:c r="K277" s="1"/>
      <x:c r="L277" s="1"/>
    </x:row>
    <x:row r="278" ht="22" customHeight="1">
      <x:c r="A278" s="92" t="n">
        <x:v>44160</x:v>
      </x:c>
      <x:c r="B278" s="21" t="n">
        <x:v>2020</x:v>
      </x:c>
      <x:c r="C278" s="14">
        <x:v>2318</x:v>
      </x:c>
      <x:c r="D278" s="14">
        <x:v>16</x:v>
      </x:c>
      <x:c r="E278" s="14">
        <x:v>6</x:v>
      </x:c>
      <x:c r="F278" s="14">
        <x:v>0</x:v>
      </x:c>
      <x:c r="G278" s="14">
        <x:v>0</x:v>
      </x:c>
      <x:c r="H278" s="14">
        <x:v>117</x:v>
      </x:c>
      <x:c r="I278" s="14">
        <x:v>8</x:v>
      </x:c>
      <x:c r="J278" s="13" t="inlineStr">
        <x:is>
          <x:t xml:space="preserve">19/194</x:t>
        </x:is>
      </x:c>
      <x:c r="K278" s="1"/>
      <x:c r="L278" s="1"/>
    </x:row>
    <x:row r="279" ht="22" customHeight="1">
      <x:c r="A279" s="93" t="n">
        <x:v>44161</x:v>
      </x:c>
      <x:c r="B279" s="24" t="n">
        <x:v>2020</x:v>
      </x:c>
      <x:c r="C279" s="16">
        <x:v>5460</x:v>
      </x:c>
      <x:c r="D279" s="16">
        <x:v>85</x:v>
      </x:c>
      <x:c r="E279" s="16">
        <x:v>8</x:v>
      </x:c>
      <x:c r="F279" s="16">
        <x:v>13</x:v>
      </x:c>
      <x:c r="G279" s="16">
        <x:v>2</x:v>
      </x:c>
      <x:c r="H279" s="16">
        <x:v>134</x:v>
      </x:c>
      <x:c r="I279" s="16">
        <x:v>18</x:v>
      </x:c>
      <x:c r="J279" s="15" t="inlineStr">
        <x:is>
          <x:t xml:space="preserve">19/195</x:t>
        </x:is>
      </x:c>
      <x:c r="K279" s="1"/>
      <x:c r="L279" s="1"/>
    </x:row>
    <x:row r="280" ht="22" customHeight="1">
      <x:c r="A280" s="92" t="n">
        <x:v>44162</x:v>
      </x:c>
      <x:c r="B280" s="21" t="n">
        <x:v>2020</x:v>
      </x:c>
      <x:c r="C280" s="14">
        <x:v>3102</x:v>
      </x:c>
      <x:c r="D280" s="14">
        <x:v>1</x:v>
      </x:c>
      <x:c r="E280" s="14">
        <x:v>0</x:v>
      </x:c>
      <x:c r="F280" s="14">
        <x:v>0</x:v>
      </x:c>
      <x:c r="G280" s="14">
        <x:v>0</x:v>
      </x:c>
      <x:c r="H280" s="14">
        <x:v>82</x:v>
      </x:c>
      <x:c r="I280" s="14">
        <x:v>1</x:v>
      </x:c>
      <x:c r="J280" s="13" t="inlineStr">
        <x:is>
          <x:t xml:space="preserve">19/196</x:t>
        </x:is>
      </x:c>
      <x:c r="K280" s="1"/>
      <x:c r="L280" s="1"/>
    </x:row>
    <x:row r="281" ht="22" customHeight="1">
      <x:c r="A281" s="93" t="n">
        <x:v>44173</x:v>
      </x:c>
      <x:c r="B281" s="24" t="n">
        <x:v>2020</x:v>
      </x:c>
      <x:c r="C281" s="16">
        <x:v>3983</x:v>
      </x:c>
      <x:c r="D281" s="16">
        <x:v>219</x:v>
      </x:c>
      <x:c r="E281" s="16">
        <x:v>64</x:v>
      </x:c>
      <x:c r="F281" s="16">
        <x:v>34</x:v>
      </x:c>
      <x:c r="G281" s="16">
        <x:v>6</x:v>
      </x:c>
      <x:c r="H281" s="16">
        <x:v>83</x:v>
      </x:c>
      <x:c r="I281" s="16">
        <x:v>24</x:v>
      </x:c>
      <x:c r="J281" s="15" t="inlineStr">
        <x:is>
          <x:t xml:space="preserve">19/197</x:t>
        </x:is>
      </x:c>
      <x:c r="K281" s="1"/>
      <x:c r="L281" s="1"/>
    </x:row>
    <x:row r="282" ht="22" customHeight="1">
      <x:c r="A282" s="92" t="n">
        <x:v>44174</x:v>
      </x:c>
      <x:c r="B282" s="21" t="n">
        <x:v>2020</x:v>
      </x:c>
      <x:c r="C282" s="14">
        <x:v>4132</x:v>
      </x:c>
      <x:c r="D282" s="14">
        <x:v>12</x:v>
      </x:c>
      <x:c r="E282" s="14">
        <x:v>5</x:v>
      </x:c>
      <x:c r="F282" s="14">
        <x:v>1</x:v>
      </x:c>
      <x:c r="G282" s="14">
        <x:v>0</x:v>
      </x:c>
      <x:c r="H282" s="14">
        <x:v>78</x:v>
      </x:c>
      <x:c r="I282" s="14">
        <x:v>8</x:v>
      </x:c>
      <x:c r="J282" s="13" t="inlineStr">
        <x:is>
          <x:t xml:space="preserve">19/198</x:t>
        </x:is>
      </x:c>
      <x:c r="K282" s="1"/>
      <x:c r="L282" s="1"/>
    </x:row>
    <x:row r="283" ht="22" customHeight="1">
      <x:c r="A283" s="93" t="n">
        <x:v>44175</x:v>
      </x:c>
      <x:c r="B283" s="24" t="n">
        <x:v>2020</x:v>
      </x:c>
      <x:c r="C283" s="16">
        <x:v>4224</x:v>
      </x:c>
      <x:c r="D283" s="16">
        <x:v>6</x:v>
      </x:c>
      <x:c r="E283" s="16">
        <x:v>0</x:v>
      </x:c>
      <x:c r="F283" s="16">
        <x:v>0</x:v>
      </x:c>
      <x:c r="G283" s="16">
        <x:v>0</x:v>
      </x:c>
      <x:c r="H283" s="16">
        <x:v>94</x:v>
      </x:c>
      <x:c r="I283" s="16">
        <x:v>3</x:v>
      </x:c>
      <x:c r="J283" s="15" t="inlineStr">
        <x:is>
          <x:t xml:space="preserve">19/199</x:t>
        </x:is>
      </x:c>
      <x:c r="K283" s="1"/>
      <x:c r="L283" s="1"/>
    </x:row>
    <x:row r="284" ht="22" customHeight="1">
      <x:c r="A284" s="92" t="n">
        <x:v>44176</x:v>
      </x:c>
      <x:c r="B284" s="21" t="n">
        <x:v>2020</x:v>
      </x:c>
      <x:c r="C284" s="14">
        <x:v>1665</x:v>
      </x:c>
      <x:c r="D284" s="14">
        <x:v>11</x:v>
      </x:c>
      <x:c r="E284" s="14">
        <x:v>1</x:v>
      </x:c>
      <x:c r="F284" s="14">
        <x:v>1</x:v>
      </x:c>
      <x:c r="G284" s="14">
        <x:v>0</x:v>
      </x:c>
      <x:c r="H284" s="14">
        <x:v>37</x:v>
      </x:c>
      <x:c r="I284" s="14">
        <x:v>9</x:v>
      </x:c>
      <x:c r="J284" s="13" t="inlineStr">
        <x:is>
          <x:t xml:space="preserve">19/200</x:t>
        </x:is>
      </x:c>
      <x:c r="K284" s="1"/>
      <x:c r="L284" s="1"/>
    </x:row>
    <x:row r="285" ht="22" customHeight="1">
      <x:c r="A285" s="93" t="n">
        <x:v>44181</x:v>
      </x:c>
      <x:c r="B285" s="24" t="n">
        <x:v>2020</x:v>
      </x:c>
      <x:c r="C285" s="16">
        <x:v>3747</x:v>
      </x:c>
      <x:c r="D285" s="16">
        <x:v>163</x:v>
      </x:c>
      <x:c r="E285" s="16">
        <x:v>1</x:v>
      </x:c>
      <x:c r="F285" s="16">
        <x:v>12</x:v>
      </x:c>
      <x:c r="G285" s="16">
        <x:v>0</x:v>
      </x:c>
      <x:c r="H285" s="16">
        <x:v>149</x:v>
      </x:c>
      <x:c r="I285" s="16">
        <x:v>34</x:v>
      </x:c>
      <x:c r="J285" s="15" t="inlineStr">
        <x:is>
          <x:t xml:space="preserve">19/201</x:t>
        </x:is>
      </x:c>
      <x:c r="K285" s="1"/>
      <x:c r="L285" s="1"/>
    </x:row>
    <x:row r="286" ht="22" customHeight="1">
      <x:c r="A286" s="92" t="n">
        <x:v>44182</x:v>
      </x:c>
      <x:c r="B286" s="21" t="n">
        <x:v>2020</x:v>
      </x:c>
      <x:c r="C286" s="14">
        <x:v>5189</x:v>
      </x:c>
      <x:c r="D286" s="14">
        <x:v>12</x:v>
      </x:c>
      <x:c r="E286" s="14">
        <x:v>4</x:v>
      </x:c>
      <x:c r="F286" s="14">
        <x:v>4</x:v>
      </x:c>
      <x:c r="G286" s="14">
        <x:v>0</x:v>
      </x:c>
      <x:c r="H286" s="14">
        <x:v>148</x:v>
      </x:c>
      <x:c r="I286" s="14">
        <x:v>8</x:v>
      </x:c>
      <x:c r="J286" s="13" t="inlineStr">
        <x:is>
          <x:t xml:space="preserve">19/202</x:t>
        </x:is>
      </x:c>
      <x:c r="K286" s="1"/>
      <x:c r="L286" s="1"/>
    </x:row>
    <x:row r="287" ht="22" customHeight="1">
      <x:c r="A287" s="93" t="n">
        <x:v>44209</x:v>
      </x:c>
      <x:c r="B287" s="24" t="n">
        <x:v>2021</x:v>
      </x:c>
      <x:c r="C287" s="16">
        <x:v>3010</x:v>
      </x:c>
      <x:c r="D287" s="16">
        <x:v>299</x:v>
      </x:c>
      <x:c r="E287" s="16">
        <x:v>119</x:v>
      </x:c>
      <x:c r="F287" s="16">
        <x:v>65</x:v>
      </x:c>
      <x:c r="G287" s="16">
        <x:v>11</x:v>
      </x:c>
      <x:c r="H287" s="16">
        <x:v>128</x:v>
      </x:c>
      <x:c r="I287" s="16">
        <x:v>65</x:v>
      </x:c>
      <x:c r="J287" s="15" t="inlineStr">
        <x:is>
          <x:t xml:space="preserve">19/203</x:t>
        </x:is>
      </x:c>
      <x:c r="K287" s="1"/>
      <x:c r="L287" s="1"/>
    </x:row>
    <x:row r="288" ht="22" customHeight="1">
      <x:c r="A288" s="92" t="n">
        <x:v>44210</x:v>
      </x:c>
      <x:c r="B288" s="21" t="n">
        <x:v>2021</x:v>
      </x:c>
      <x:c r="C288" s="14">
        <x:v>5099</x:v>
      </x:c>
      <x:c r="D288" s="14">
        <x:v>120</x:v>
      </x:c>
      <x:c r="E288" s="14">
        <x:v>23</x:v>
      </x:c>
      <x:c r="F288" s="14">
        <x:v>18</x:v>
      </x:c>
      <x:c r="G288" s="14">
        <x:v>6</x:v>
      </x:c>
      <x:c r="H288" s="14">
        <x:v>143</x:v>
      </x:c>
      <x:c r="I288" s="14">
        <x:v>15</x:v>
      </x:c>
      <x:c r="J288" s="13" t="inlineStr">
        <x:is>
          <x:t xml:space="preserve">19/204</x:t>
        </x:is>
      </x:c>
      <x:c r="K288" s="1"/>
      <x:c r="L288" s="1"/>
    </x:row>
    <x:row r="289" ht="22" customHeight="1">
      <x:c r="A289" s="93" t="n">
        <x:v>44223</x:v>
      </x:c>
      <x:c r="B289" s="24" t="n">
        <x:v>2021</x:v>
      </x:c>
      <x:c r="C289" s="16">
        <x:v>2709</x:v>
      </x:c>
      <x:c r="D289" s="16">
        <x:v>99</x:v>
      </x:c>
      <x:c r="E289" s="16">
        <x:v>8</x:v>
      </x:c>
      <x:c r="F289" s="16">
        <x:v>44</x:v>
      </x:c>
      <x:c r="G289" s="16">
        <x:v>1</x:v>
      </x:c>
      <x:c r="H289" s="16">
        <x:v>147</x:v>
      </x:c>
      <x:c r="I289" s="16">
        <x:v>17</x:v>
      </x:c>
      <x:c r="J289" s="15" t="inlineStr">
        <x:is>
          <x:t xml:space="preserve">19/205</x:t>
        </x:is>
      </x:c>
      <x:c r="K289" s="1"/>
      <x:c r="L289" s="1"/>
    </x:row>
    <x:row r="290" ht="22" customHeight="1">
      <x:c r="A290" s="92" t="n">
        <x:v>44224</x:v>
      </x:c>
      <x:c r="B290" s="21" t="n">
        <x:v>2021</x:v>
      </x:c>
      <x:c r="C290" s="14">
        <x:v>6052</x:v>
      </x:c>
      <x:c r="D290" s="14">
        <x:v>6</x:v>
      </x:c>
      <x:c r="E290" s="14">
        <x:v>0</x:v>
      </x:c>
      <x:c r="F290" s="14">
        <x:v>1</x:v>
      </x:c>
      <x:c r="G290" s="14">
        <x:v>0</x:v>
      </x:c>
      <x:c r="H290" s="14">
        <x:v>173</x:v>
      </x:c>
      <x:c r="I290" s="14">
        <x:v>6</x:v>
      </x:c>
      <x:c r="J290" s="13" t="inlineStr">
        <x:is>
          <x:t xml:space="preserve">19/206</x:t>
        </x:is>
      </x:c>
      <x:c r="K290" s="1"/>
      <x:c r="L290" s="1"/>
    </x:row>
    <x:row r="291" ht="22" customHeight="1">
      <x:c r="A291" s="93" t="n">
        <x:v>44225</x:v>
      </x:c>
      <x:c r="B291" s="24" t="n">
        <x:v>2021</x:v>
      </x:c>
      <x:c r="C291" s="16">
        <x:v>3589</x:v>
      </x:c>
      <x:c r="D291" s="16">
        <x:v>4</x:v>
      </x:c>
      <x:c r="E291" s="16">
        <x:v>1</x:v>
      </x:c>
      <x:c r="F291" s="16">
        <x:v>1</x:v>
      </x:c>
      <x:c r="G291" s="16">
        <x:v>0</x:v>
      </x:c>
      <x:c r="H291" s="16">
        <x:v>94</x:v>
      </x:c>
      <x:c r="I291" s="16">
        <x:v>4</x:v>
      </x:c>
      <x:c r="J291" s="15" t="inlineStr">
        <x:is>
          <x:t xml:space="preserve">19/207</x:t>
        </x:is>
      </x:c>
      <x:c r="K291" s="1"/>
      <x:c r="L291" s="1"/>
    </x:row>
    <x:row r="292" ht="22" customHeight="1">
      <x:c r="A292" s="92" t="n">
        <x:v>44237</x:v>
      </x:c>
      <x:c r="B292" s="21" t="n">
        <x:v>2021</x:v>
      </x:c>
      <x:c r="C292" s="14">
        <x:v>1758</x:v>
      </x:c>
      <x:c r="D292" s="14">
        <x:v>120</x:v>
      </x:c>
      <x:c r="E292" s="14">
        <x:v>57</x:v>
      </x:c>
      <x:c r="F292" s="14">
        <x:v>15</x:v>
      </x:c>
      <x:c r="G292" s="14">
        <x:v>1</x:v>
      </x:c>
      <x:c r="H292" s="14">
        <x:v>97</x:v>
      </x:c>
      <x:c r="I292" s="14">
        <x:v>34</x:v>
      </x:c>
      <x:c r="J292" s="13" t="inlineStr">
        <x:is>
          <x:t xml:space="preserve">19/208</x:t>
        </x:is>
      </x:c>
      <x:c r="K292" s="1"/>
      <x:c r="L292" s="1"/>
    </x:row>
    <x:row r="293" ht="22" customHeight="1">
      <x:c r="A293" s="93" t="n">
        <x:v>44238</x:v>
      </x:c>
      <x:c r="B293" s="24" t="n">
        <x:v>2021</x:v>
      </x:c>
      <x:c r="C293" s="16">
        <x:v>5776</x:v>
      </x:c>
      <x:c r="D293" s="16">
        <x:v>78</x:v>
      </x:c>
      <x:c r="E293" s="16">
        <x:v>44</x:v>
      </x:c>
      <x:c r="F293" s="16">
        <x:v>25</x:v>
      </x:c>
      <x:c r="G293" s="16">
        <x:v>6</x:v>
      </x:c>
      <x:c r="H293" s="16">
        <x:v>148</x:v>
      </x:c>
      <x:c r="I293" s="16">
        <x:v>15</x:v>
      </x:c>
      <x:c r="J293" s="15" t="inlineStr">
        <x:is>
          <x:t xml:space="preserve">19/209</x:t>
        </x:is>
      </x:c>
      <x:c r="K293" s="1"/>
      <x:c r="L293" s="1"/>
    </x:row>
    <x:row r="294" ht="22" customHeight="1">
      <x:c r="A294" s="92" t="n">
        <x:v>44239</x:v>
      </x:c>
      <x:c r="B294" s="21" t="n">
        <x:v>2021</x:v>
      </x:c>
      <x:c r="C294" s="14">
        <x:v>3414</x:v>
      </x:c>
      <x:c r="D294" s="14">
        <x:v>7</x:v>
      </x:c>
      <x:c r="E294" s="14">
        <x:v>0</x:v>
      </x:c>
      <x:c r="F294" s="14">
        <x:v>4</x:v>
      </x:c>
      <x:c r="G294" s="14">
        <x:v>0</x:v>
      </x:c>
      <x:c r="H294" s="14">
        <x:v>85</x:v>
      </x:c>
      <x:c r="I294" s="14">
        <x:v>6</x:v>
      </x:c>
      <x:c r="J294" s="13" t="inlineStr">
        <x:is>
          <x:t xml:space="preserve">19/210</x:t>
        </x:is>
      </x:c>
      <x:c r="K294" s="1"/>
      <x:c r="L294" s="1"/>
    </x:row>
    <x:row r="295" ht="22" customHeight="1">
      <x:c r="A295" s="93" t="n">
        <x:v>44251</x:v>
      </x:c>
      <x:c r="B295" s="24" t="n">
        <x:v>2021</x:v>
      </x:c>
      <x:c r="C295" s="16">
        <x:v>2523</x:v>
      </x:c>
      <x:c r="D295" s="16">
        <x:v>3</x:v>
      </x:c>
      <x:c r="E295" s="16">
        <x:v>0</x:v>
      </x:c>
      <x:c r="F295" s="16">
        <x:v>1</x:v>
      </x:c>
      <x:c r="G295" s="16">
        <x:v>0</x:v>
      </x:c>
      <x:c r="H295" s="16">
        <x:v>112</x:v>
      </x:c>
      <x:c r="I295" s="16">
        <x:v>3</x:v>
      </x:c>
      <x:c r="J295" s="15" t="inlineStr">
        <x:is>
          <x:t xml:space="preserve">19/211</x:t>
        </x:is>
      </x:c>
      <x:c r="K295" s="1"/>
      <x:c r="L295" s="1"/>
    </x:row>
    <x:row r="296" ht="22" customHeight="1">
      <x:c r="A296" s="92" t="n">
        <x:v>44252</x:v>
      </x:c>
      <x:c r="B296" s="21" t="n">
        <x:v>2021</x:v>
      </x:c>
      <x:c r="C296" s="14">
        <x:v>4198</x:v>
      </x:c>
      <x:c r="D296" s="14">
        <x:v>10</x:v>
      </x:c>
      <x:c r="E296" s="14">
        <x:v>5</x:v>
      </x:c>
      <x:c r="F296" s="14">
        <x:v>0</x:v>
      </x:c>
      <x:c r="G296" s="14">
        <x:v>0</x:v>
      </x:c>
      <x:c r="H296" s="14">
        <x:v>116</x:v>
      </x:c>
      <x:c r="I296" s="14">
        <x:v>6</x:v>
      </x:c>
      <x:c r="J296" s="13" t="inlineStr">
        <x:is>
          <x:t xml:space="preserve">19/212</x:t>
        </x:is>
      </x:c>
      <x:c r="K296" s="1"/>
      <x:c r="L296" s="1"/>
    </x:row>
    <x:row r="297" ht="22" customHeight="1">
      <x:c r="A297" s="93" t="n">
        <x:v>44253</x:v>
      </x:c>
      <x:c r="B297" s="24" t="n">
        <x:v>2021</x:v>
      </x:c>
      <x:c r="C297" s="16">
        <x:v>3070</x:v>
      </x:c>
      <x:c r="D297" s="16">
        <x:v>4</x:v>
      </x:c>
      <x:c r="E297" s="16">
        <x:v>0</x:v>
      </x:c>
      <x:c r="F297" s="16">
        <x:v>0</x:v>
      </x:c>
      <x:c r="G297" s="16">
        <x:v>0</x:v>
      </x:c>
      <x:c r="H297" s="16">
        <x:v>86</x:v>
      </x:c>
      <x:c r="I297" s="16">
        <x:v>3</x:v>
      </x:c>
      <x:c r="J297" s="15" t="inlineStr">
        <x:is>
          <x:t xml:space="preserve">19/213</x:t>
        </x:is>
      </x:c>
      <x:c r="K297" s="1"/>
      <x:c r="L297" s="1"/>
    </x:row>
    <x:row r="298" ht="22" customHeight="1">
      <x:c r="A298" s="92" t="n">
        <x:v>44258</x:v>
      </x:c>
      <x:c r="B298" s="21" t="n">
        <x:v>2021</x:v>
      </x:c>
      <x:c r="C298" s="14">
        <x:v>2471</x:v>
      </x:c>
      <x:c r="D298" s="14">
        <x:v>4</x:v>
      </x:c>
      <x:c r="E298" s="14">
        <x:v>1</x:v>
      </x:c>
      <x:c r="F298" s="14">
        <x:v>0</x:v>
      </x:c>
      <x:c r="G298" s="14">
        <x:v>2</x:v>
      </x:c>
      <x:c r="H298" s="14">
        <x:v>117</x:v>
      </x:c>
      <x:c r="I298" s="14">
        <x:v>4</x:v>
      </x:c>
      <x:c r="J298" s="13" t="inlineStr">
        <x:is>
          <x:t xml:space="preserve">19/214</x:t>
        </x:is>
      </x:c>
      <x:c r="K298" s="1"/>
      <x:c r="L298" s="1"/>
    </x:row>
    <x:row r="299" ht="22" customHeight="1">
      <x:c r="A299" s="93" t="n">
        <x:v>44259</x:v>
      </x:c>
      <x:c r="B299" s="24" t="n">
        <x:v>2021</x:v>
      </x:c>
      <x:c r="C299" s="16">
        <x:v>6343</x:v>
      </x:c>
      <x:c r="D299" s="16">
        <x:v>8</x:v>
      </x:c>
      <x:c r="E299" s="16">
        <x:v>1</x:v>
      </x:c>
      <x:c r="F299" s="16">
        <x:v>1</x:v>
      </x:c>
      <x:c r="G299" s="16">
        <x:v>0</x:v>
      </x:c>
      <x:c r="H299" s="16">
        <x:v>181</x:v>
      </x:c>
      <x:c r="I299" s="16">
        <x:v>7</x:v>
      </x:c>
      <x:c r="J299" s="15" t="inlineStr">
        <x:is>
          <x:t xml:space="preserve">19/215</x:t>
        </x:is>
      </x:c>
      <x:c r="K299" s="1"/>
      <x:c r="L299" s="1"/>
    </x:row>
    <x:row r="300" ht="22" customHeight="1">
      <x:c r="A300" s="92" t="n">
        <x:v>44260</x:v>
      </x:c>
      <x:c r="B300" s="21" t="n">
        <x:v>2021</x:v>
      </x:c>
      <x:c r="C300" s="14">
        <x:v>4425</x:v>
      </x:c>
      <x:c r="D300" s="14">
        <x:v>2</x:v>
      </x:c>
      <x:c r="E300" s="14">
        <x:v>0</x:v>
      </x:c>
      <x:c r="F300" s="14">
        <x:v>0</x:v>
      </x:c>
      <x:c r="G300" s="14">
        <x:v>1</x:v>
      </x:c>
      <x:c r="H300" s="14">
        <x:v>116</x:v>
      </x:c>
      <x:c r="I300" s="14">
        <x:v>1</x:v>
      </x:c>
      <x:c r="J300" s="13" t="inlineStr">
        <x:is>
          <x:t xml:space="preserve">19/216</x:t>
        </x:is>
      </x:c>
      <x:c r="K300" s="1"/>
      <x:c r="L300" s="1"/>
    </x:row>
    <x:row r="301" ht="22" customHeight="1">
      <x:c r="A301" s="93" t="n">
        <x:v>44279</x:v>
      </x:c>
      <x:c r="B301" s="24" t="n">
        <x:v>2021</x:v>
      </x:c>
      <x:c r="C301" s="16">
        <x:v>2357</x:v>
      </x:c>
      <x:c r="D301" s="16">
        <x:v>8</x:v>
      </x:c>
      <x:c r="E301" s="16">
        <x:v>1</x:v>
      </x:c>
      <x:c r="F301" s="16">
        <x:v>0</x:v>
      </x:c>
      <x:c r="G301" s="16">
        <x:v>3</x:v>
      </x:c>
      <x:c r="H301" s="16">
        <x:v>109</x:v>
      </x:c>
      <x:c r="I301" s="16">
        <x:v>7</x:v>
      </x:c>
      <x:c r="J301" s="15" t="inlineStr">
        <x:is>
          <x:t xml:space="preserve">19/217</x:t>
        </x:is>
      </x:c>
      <x:c r="K301" s="1"/>
      <x:c r="L301" s="1"/>
    </x:row>
    <x:row r="302" ht="22" customHeight="1">
      <x:c r="A302" s="92" t="n">
        <x:v>44280</x:v>
      </x:c>
      <x:c r="B302" s="21" t="n">
        <x:v>2021</x:v>
      </x:c>
      <x:c r="C302" s="14">
        <x:v>7948</x:v>
      </x:c>
      <x:c r="D302" s="14">
        <x:v>2</x:v>
      </x:c>
      <x:c r="E302" s="14">
        <x:v>0</x:v>
      </x:c>
      <x:c r="F302" s="14">
        <x:v>1</x:v>
      </x:c>
      <x:c r="G302" s="14">
        <x:v>0</x:v>
      </x:c>
      <x:c r="H302" s="14">
        <x:v>242</x:v>
      </x:c>
      <x:c r="I302" s="14">
        <x:v>2</x:v>
      </x:c>
      <x:c r="J302" s="13" t="inlineStr">
        <x:is>
          <x:t xml:space="preserve">19/218</x:t>
        </x:is>
      </x:c>
      <x:c r="K302" s="1"/>
      <x:c r="L302" s="1"/>
    </x:row>
    <x:row r="303" ht="22" customHeight="1">
      <x:c r="A303" s="93" t="n">
        <x:v>44281</x:v>
      </x:c>
      <x:c r="B303" s="24" t="n">
        <x:v>2021</x:v>
      </x:c>
      <x:c r="C303" s="16">
        <x:v>3878</x:v>
      </x:c>
      <x:c r="D303" s="16">
        <x:v>248</x:v>
      </x:c>
      <x:c r="E303" s="16">
        <x:v>74</x:v>
      </x:c>
      <x:c r="F303" s="16">
        <x:v>46</x:v>
      </x:c>
      <x:c r="G303" s="16">
        <x:v>3</x:v>
      </x:c>
      <x:c r="H303" s="16">
        <x:v>105</x:v>
      </x:c>
      <x:c r="I303" s="16">
        <x:v>23</x:v>
      </x:c>
      <x:c r="J303" s="15" t="inlineStr">
        <x:is>
          <x:t xml:space="preserve">19/219</x:t>
        </x:is>
      </x:c>
      <x:c r="K303" s="1"/>
      <x:c r="L303" s="1"/>
    </x:row>
    <x:row r="304" ht="22" customHeight="1">
      <x:c r="A304" s="92" t="n">
        <x:v>44299</x:v>
      </x:c>
      <x:c r="B304" s="21" t="n">
        <x:v>2021</x:v>
      </x:c>
      <x:c r="C304" s="14">
        <x:v>1894</x:v>
      </x:c>
      <x:c r="D304" s="14">
        <x:v>0</x:v>
      </x:c>
      <x:c r="E304" s="14">
        <x:v>0</x:v>
      </x:c>
      <x:c r="F304" s="14">
        <x:v>0</x:v>
      </x:c>
      <x:c r="G304" s="14">
        <x:v>0</x:v>
      </x:c>
      <x:c r="H304" s="14">
        <x:v>110</x:v>
      </x:c>
      <x:c r="I304" s="14">
        <x:v>0</x:v>
      </x:c>
      <x:c r="J304" s="13"/>
      <x:c r="K304" s="1"/>
      <x:c r="L304" s="1"/>
    </x:row>
    <x:row r="305" ht="22" customHeight="1">
      <x:c r="A305" s="93" t="n">
        <x:v>44301</x:v>
      </x:c>
      <x:c r="B305" s="24" t="n">
        <x:v>2021</x:v>
      </x:c>
      <x:c r="C305" s="16">
        <x:v>6043</x:v>
      </x:c>
      <x:c r="D305" s="16">
        <x:v>86</x:v>
      </x:c>
      <x:c r="E305" s="16">
        <x:v>38</x:v>
      </x:c>
      <x:c r="F305" s="16">
        <x:v>14</x:v>
      </x:c>
      <x:c r="G305" s="16">
        <x:v>3</x:v>
      </x:c>
      <x:c r="H305" s="16">
        <x:v>172</x:v>
      </x:c>
      <x:c r="I305" s="16">
        <x:v>21</x:v>
      </x:c>
      <x:c r="J305" s="15" t="inlineStr">
        <x:is>
          <x:t xml:space="preserve">19/221</x:t>
        </x:is>
      </x:c>
      <x:c r="K305" s="1"/>
      <x:c r="L305" s="1"/>
    </x:row>
    <x:row r="306" ht="22" customHeight="1">
      <x:c r="A306" s="92" t="n">
        <x:v>44302</x:v>
      </x:c>
      <x:c r="B306" s="21" t="n">
        <x:v>2021</x:v>
      </x:c>
      <x:c r="C306" s="14">
        <x:v>3468</x:v>
      </x:c>
      <x:c r="D306" s="14">
        <x:v>1</x:v>
      </x:c>
      <x:c r="E306" s="14">
        <x:v>0</x:v>
      </x:c>
      <x:c r="F306" s="14">
        <x:v>0</x:v>
      </x:c>
      <x:c r="G306" s="14">
        <x:v>0</x:v>
      </x:c>
      <x:c r="H306" s="14">
        <x:v>88</x:v>
      </x:c>
      <x:c r="I306" s="14">
        <x:v>1</x:v>
      </x:c>
      <x:c r="J306" s="13" t="inlineStr">
        <x:is>
          <x:t xml:space="preserve">19/222</x:t>
        </x:is>
      </x:c>
      <x:c r="K306" s="1"/>
      <x:c r="L306" s="1"/>
    </x:row>
    <x:row r="307" ht="22" customHeight="1">
      <x:c r="A307" s="93" t="n">
        <x:v>44307</x:v>
      </x:c>
      <x:c r="B307" s="24" t="n">
        <x:v>2021</x:v>
      </x:c>
      <x:c r="C307" s="16">
        <x:v>4650</x:v>
      </x:c>
      <x:c r="D307" s="16">
        <x:v>21</x:v>
      </x:c>
      <x:c r="E307" s="16">
        <x:v>4</x:v>
      </x:c>
      <x:c r="F307" s="16">
        <x:v>7</x:v>
      </x:c>
      <x:c r="G307" s="16">
        <x:v>1</x:v>
      </x:c>
      <x:c r="H307" s="16">
        <x:v>202</x:v>
      </x:c>
      <x:c r="I307" s="16">
        <x:v>17</x:v>
      </x:c>
      <x:c r="J307" s="15" t="inlineStr">
        <x:is>
          <x:t xml:space="preserve">19/223</x:t>
        </x:is>
      </x:c>
      <x:c r="K307" s="1"/>
      <x:c r="L307" s="1"/>
    </x:row>
    <x:row r="308" ht="22" customHeight="1">
      <x:c r="A308" s="92" t="n">
        <x:v>44308</x:v>
      </x:c>
      <x:c r="B308" s="21" t="n">
        <x:v>2021</x:v>
      </x:c>
      <x:c r="C308" s="14">
        <x:v>7357</x:v>
      </x:c>
      <x:c r="D308" s="14">
        <x:v>67</x:v>
      </x:c>
      <x:c r="E308" s="14">
        <x:v>5</x:v>
      </x:c>
      <x:c r="F308" s="14">
        <x:v>13</x:v>
      </x:c>
      <x:c r="G308" s="14">
        <x:v>3</x:v>
      </x:c>
      <x:c r="H308" s="14">
        <x:v>225</x:v>
      </x:c>
      <x:c r="I308" s="14">
        <x:v>19</x:v>
      </x:c>
      <x:c r="J308" s="13" t="inlineStr">
        <x:is>
          <x:t xml:space="preserve">19/224</x:t>
        </x:is>
      </x:c>
      <x:c r="K308" s="1"/>
      <x:c r="L308" s="1"/>
    </x:row>
    <x:row r="309" ht="22" customHeight="1">
      <x:c r="A309" s="93" t="n">
        <x:v>44309</x:v>
      </x:c>
      <x:c r="B309" s="24" t="n">
        <x:v>2021</x:v>
      </x:c>
      <x:c r="C309" s="16">
        <x:v>3822</x:v>
      </x:c>
      <x:c r="D309" s="16">
        <x:v>7</x:v>
      </x:c>
      <x:c r="E309" s="16">
        <x:v>0</x:v>
      </x:c>
      <x:c r="F309" s="16">
        <x:v>0</x:v>
      </x:c>
      <x:c r="G309" s="16">
        <x:v>1</x:v>
      </x:c>
      <x:c r="H309" s="16">
        <x:v>103</x:v>
      </x:c>
      <x:c r="I309" s="16">
        <x:v>6</x:v>
      </x:c>
      <x:c r="J309" s="15" t="inlineStr">
        <x:is>
          <x:t xml:space="preserve">19/225</x:t>
        </x:is>
      </x:c>
      <x:c r="K309" s="1"/>
      <x:c r="L309" s="1"/>
    </x:row>
    <x:row r="310" ht="22" customHeight="1">
      <x:c r="A310" s="92" t="n">
        <x:v>44321</x:v>
      </x:c>
      <x:c r="B310" s="21" t="n">
        <x:v>2021</x:v>
      </x:c>
      <x:c r="C310" s="14">
        <x:v>2379</x:v>
      </x:c>
      <x:c r="D310" s="14">
        <x:v>18</x:v>
      </x:c>
      <x:c r="E310" s="14">
        <x:v>2</x:v>
      </x:c>
      <x:c r="F310" s="14">
        <x:v>4</x:v>
      </x:c>
      <x:c r="G310" s="14">
        <x:v>0</x:v>
      </x:c>
      <x:c r="H310" s="14">
        <x:v>118</x:v>
      </x:c>
      <x:c r="I310" s="14">
        <x:v>8</x:v>
      </x:c>
      <x:c r="J310" s="13" t="inlineStr">
        <x:is>
          <x:t xml:space="preserve">19/226</x:t>
        </x:is>
      </x:c>
      <x:c r="K310" s="1"/>
      <x:c r="L310" s="1"/>
    </x:row>
    <x:row r="311" ht="22" customHeight="1">
      <x:c r="A311" s="93" t="n">
        <x:v>44322</x:v>
      </x:c>
      <x:c r="B311" s="24" t="n">
        <x:v>2021</x:v>
      </x:c>
      <x:c r="C311" s="16">
        <x:v>6683</x:v>
      </x:c>
      <x:c r="D311" s="16">
        <x:v>78</x:v>
      </x:c>
      <x:c r="E311" s="16">
        <x:v>5</x:v>
      </x:c>
      <x:c r="F311" s="16">
        <x:v>27</x:v>
      </x:c>
      <x:c r="G311" s="16">
        <x:v>0</x:v>
      </x:c>
      <x:c r="H311" s="16">
        <x:v>202</x:v>
      </x:c>
      <x:c r="I311" s="16">
        <x:v>19</x:v>
      </x:c>
      <x:c r="J311" s="15" t="inlineStr">
        <x:is>
          <x:t xml:space="preserve">19/227</x:t>
        </x:is>
      </x:c>
      <x:c r="K311" s="1"/>
      <x:c r="L311" s="1"/>
    </x:row>
    <x:row r="312" ht="22" customHeight="1">
      <x:c r="A312" s="92" t="n">
        <x:v>44323</x:v>
      </x:c>
      <x:c r="B312" s="21" t="n">
        <x:v>2021</x:v>
      </x:c>
      <x:c r="C312" s="14">
        <x:v>3458</x:v>
      </x:c>
      <x:c r="D312" s="14">
        <x:v>3</x:v>
      </x:c>
      <x:c r="E312" s="14">
        <x:v>1</x:v>
      </x:c>
      <x:c r="F312" s="14">
        <x:v>2</x:v>
      </x:c>
      <x:c r="G312" s="14">
        <x:v>0</x:v>
      </x:c>
      <x:c r="H312" s="14">
        <x:v>100</x:v>
      </x:c>
      <x:c r="I312" s="14">
        <x:v>2</x:v>
      </x:c>
      <x:c r="J312" s="13" t="inlineStr">
        <x:is>
          <x:t xml:space="preserve">19/228</x:t>
        </x:is>
      </x:c>
      <x:c r="K312" s="1"/>
      <x:c r="L312" s="1"/>
    </x:row>
    <x:row r="313" ht="22" customHeight="1">
      <x:c r="A313" s="93" t="n">
        <x:v>44335</x:v>
      </x:c>
      <x:c r="B313" s="24" t="n">
        <x:v>2021</x:v>
      </x:c>
      <x:c r="C313" s="16">
        <x:v>4159</x:v>
      </x:c>
      <x:c r="D313" s="16">
        <x:v>5</x:v>
      </x:c>
      <x:c r="E313" s="16">
        <x:v>1</x:v>
      </x:c>
      <x:c r="F313" s="16">
        <x:v>3</x:v>
      </x:c>
      <x:c r="G313" s="16">
        <x:v>0</x:v>
      </x:c>
      <x:c r="H313" s="16">
        <x:v>180</x:v>
      </x:c>
      <x:c r="I313" s="16">
        <x:v>2</x:v>
      </x:c>
      <x:c r="J313" s="15" t="inlineStr">
        <x:is>
          <x:t xml:space="preserve">19/229</x:t>
        </x:is>
      </x:c>
      <x:c r="K313" s="1"/>
      <x:c r="L313" s="1"/>
    </x:row>
    <x:row r="314" ht="22" customHeight="1">
      <x:c r="A314" s="92" t="n">
        <x:v>44336</x:v>
      </x:c>
      <x:c r="B314" s="21" t="n">
        <x:v>2021</x:v>
      </x:c>
      <x:c r="C314" s="14">
        <x:v>7839</x:v>
      </x:c>
      <x:c r="D314" s="14">
        <x:v>177</x:v>
      </x:c>
      <x:c r="E314" s="14">
        <x:v>60</x:v>
      </x:c>
      <x:c r="F314" s="14">
        <x:v>45</x:v>
      </x:c>
      <x:c r="G314" s="14">
        <x:v>6</x:v>
      </x:c>
      <x:c r="H314" s="14">
        <x:v>235</x:v>
      </x:c>
      <x:c r="I314" s="14">
        <x:v>34</x:v>
      </x:c>
      <x:c r="J314" s="13" t="inlineStr">
        <x:is>
          <x:t xml:space="preserve">19/230</x:t>
        </x:is>
      </x:c>
      <x:c r="K314" s="1"/>
      <x:c r="L314" s="1"/>
    </x:row>
    <x:row r="315" ht="22" customHeight="1">
      <x:c r="A315" s="93" t="n">
        <x:v>44337</x:v>
      </x:c>
      <x:c r="B315" s="24" t="n">
        <x:v>2021</x:v>
      </x:c>
      <x:c r="C315" s="16">
        <x:v>4445</x:v>
      </x:c>
      <x:c r="D315" s="16">
        <x:v>89</x:v>
      </x:c>
      <x:c r="E315" s="16">
        <x:v>61</x:v>
      </x:c>
      <x:c r="F315" s="16">
        <x:v>12</x:v>
      </x:c>
      <x:c r="G315" s="16">
        <x:v>1</x:v>
      </x:c>
      <x:c r="H315" s="16">
        <x:v>120</x:v>
      </x:c>
      <x:c r="I315" s="16">
        <x:v>12</x:v>
      </x:c>
      <x:c r="J315" s="15" t="inlineStr">
        <x:is>
          <x:t xml:space="preserve">19/231</x:t>
        </x:is>
      </x:c>
      <x:c r="K315" s="1"/>
      <x:c r="L315" s="1"/>
    </x:row>
    <x:row r="316" ht="22" customHeight="1">
      <x:c r="A316" s="92" t="n">
        <x:v>44356</x:v>
      </x:c>
      <x:c r="B316" s="21" t="n">
        <x:v>2021</x:v>
      </x:c>
      <x:c r="C316" s="14">
        <x:v>2979</x:v>
      </x:c>
      <x:c r="D316" s="14">
        <x:v>8</x:v>
      </x:c>
      <x:c r="E316" s="14">
        <x:v>2</x:v>
      </x:c>
      <x:c r="F316" s="14">
        <x:v>2</x:v>
      </x:c>
      <x:c r="G316" s="14">
        <x:v>0</x:v>
      </x:c>
      <x:c r="H316" s="14">
        <x:v>129</x:v>
      </x:c>
      <x:c r="I316" s="14">
        <x:v>7</x:v>
      </x:c>
      <x:c r="J316" s="13" t="inlineStr">
        <x:is>
          <x:t xml:space="preserve">19/232</x:t>
        </x:is>
      </x:c>
      <x:c r="K316" s="1"/>
      <x:c r="L316" s="1"/>
    </x:row>
    <x:row r="317" ht="22" customHeight="1">
      <x:c r="A317" s="93" t="n">
        <x:v>44357</x:v>
      </x:c>
      <x:c r="B317" s="24" t="n">
        <x:v>2021</x:v>
      </x:c>
      <x:c r="C317" s="16">
        <x:v>7642</x:v>
      </x:c>
      <x:c r="D317" s="16">
        <x:v>128</x:v>
      </x:c>
      <x:c r="E317" s="16">
        <x:v>37</x:v>
      </x:c>
      <x:c r="F317" s="16">
        <x:v>37</x:v>
      </x:c>
      <x:c r="G317" s="16">
        <x:v>4</x:v>
      </x:c>
      <x:c r="H317" s="16">
        <x:v>236</x:v>
      </x:c>
      <x:c r="I317" s="16">
        <x:v>24</x:v>
      </x:c>
      <x:c r="J317" s="15" t="inlineStr">
        <x:is>
          <x:t xml:space="preserve">19/233</x:t>
        </x:is>
      </x:c>
      <x:c r="K317" s="1"/>
      <x:c r="L317" s="1"/>
    </x:row>
    <x:row r="318" ht="22" customHeight="1">
      <x:c r="A318" s="92" t="n">
        <x:v>44358</x:v>
      </x:c>
      <x:c r="B318" s="21" t="n">
        <x:v>2021</x:v>
      </x:c>
      <x:c r="C318" s="14">
        <x:v>4355</x:v>
      </x:c>
      <x:c r="D318" s="14">
        <x:v>22</x:v>
      </x:c>
      <x:c r="E318" s="14">
        <x:v>6</x:v>
      </x:c>
      <x:c r="F318" s="14">
        <x:v>4</x:v>
      </x:c>
      <x:c r="G318" s="14">
        <x:v>1</x:v>
      </x:c>
      <x:c r="H318" s="14">
        <x:v>131</x:v>
      </x:c>
      <x:c r="I318" s="14">
        <x:v>10</x:v>
      </x:c>
      <x:c r="J318" s="13" t="inlineStr">
        <x:is>
          <x:t xml:space="preserve">19/234</x:t>
        </x:is>
      </x:c>
      <x:c r="K318" s="1"/>
      <x:c r="L318" s="1"/>
    </x:row>
    <x:row r="319" ht="22" customHeight="1">
      <x:c r="A319" s="93" t="n">
        <x:v>44370</x:v>
      </x:c>
      <x:c r="B319" s="24" t="n">
        <x:v>2021</x:v>
      </x:c>
      <x:c r="C319" s="16">
        <x:v>2732</x:v>
      </x:c>
      <x:c r="D319" s="16">
        <x:v>1</x:v>
      </x:c>
      <x:c r="E319" s="16">
        <x:v>0</x:v>
      </x:c>
      <x:c r="F319" s="16">
        <x:v>0</x:v>
      </x:c>
      <x:c r="G319" s="16">
        <x:v>0</x:v>
      </x:c>
      <x:c r="H319" s="16">
        <x:v>114</x:v>
      </x:c>
      <x:c r="I319" s="16">
        <x:v>1</x:v>
      </x:c>
      <x:c r="J319" s="15" t="inlineStr">
        <x:is>
          <x:t xml:space="preserve">19/235</x:t>
        </x:is>
      </x:c>
      <x:c r="K319" s="1"/>
      <x:c r="L319" s="1"/>
    </x:row>
    <x:row r="320" ht="22" customHeight="1">
      <x:c r="A320" s="92" t="n">
        <x:v>44371</x:v>
      </x:c>
      <x:c r="B320" s="21" t="n">
        <x:v>2021</x:v>
      </x:c>
      <x:c r="C320" s="14">
        <x:v>9513</x:v>
      </x:c>
      <x:c r="D320" s="14">
        <x:v>407</x:v>
      </x:c>
      <x:c r="E320" s="14">
        <x:v>235</x:v>
      </x:c>
      <x:c r="F320" s="14">
        <x:v>61</x:v>
      </x:c>
      <x:c r="G320" s="14">
        <x:v>4</x:v>
      </x:c>
      <x:c r="H320" s="14">
        <x:v>275</x:v>
      </x:c>
      <x:c r="I320" s="14">
        <x:v>45</x:v>
      </x:c>
      <x:c r="J320" s="13" t="inlineStr">
        <x:is>
          <x:t xml:space="preserve">19/236</x:t>
        </x:is>
      </x:c>
      <x:c r="K320" s="1"/>
      <x:c r="L320" s="1"/>
    </x:row>
    <x:row r="321" ht="22" customHeight="1">
      <x:c r="A321" s="93" t="n">
        <x:v>44372</x:v>
      </x:c>
      <x:c r="B321" s="24" t="n">
        <x:v>2021</x:v>
      </x:c>
      <x:c r="C321" s="16">
        <x:v>3735</x:v>
      </x:c>
      <x:c r="D321" s="16">
        <x:v>5</x:v>
      </x:c>
      <x:c r="E321" s="16">
        <x:v>1</x:v>
      </x:c>
      <x:c r="F321" s="16">
        <x:v>4</x:v>
      </x:c>
      <x:c r="G321" s="16">
        <x:v>0</x:v>
      </x:c>
      <x:c r="H321" s="16">
        <x:v>94</x:v>
      </x:c>
      <x:c r="I321" s="16">
        <x:v>5</x:v>
      </x:c>
      <x:c r="J321" s="15" t="inlineStr">
        <x:is>
          <x:t xml:space="preserve">19/237</x:t>
        </x:is>
      </x:c>
      <x:c r="K321" s="1"/>
      <x:c r="L321" s="1"/>
    </x:row>
    <x:row r="322" ht="22" customHeight="1">
      <x:c r="A322" s="92" t="n">
        <x:v>44433</x:v>
      </x:c>
      <x:c r="B322" s="21" t="n">
        <x:v>2021</x:v>
      </x:c>
      <x:c r="C322" s="14">
        <x:v>3090</x:v>
      </x:c>
      <x:c r="D322" s="14">
        <x:v>9</x:v>
      </x:c>
      <x:c r="E322" s="14">
        <x:v>0</x:v>
      </x:c>
      <x:c r="F322" s="14">
        <x:v>1</x:v>
      </x:c>
      <x:c r="G322" s="14">
        <x:v>0</x:v>
      </x:c>
      <x:c r="H322" s="14">
        <x:v>71</x:v>
      </x:c>
      <x:c r="I322" s="14">
        <x:v>4</x:v>
      </x:c>
      <x:c r="J322" s="13" t="inlineStr">
        <x:is>
          <x:t xml:space="preserve">19/238</x:t>
        </x:is>
      </x:c>
      <x:c r="K322" s="1"/>
      <x:c r="L322" s="1"/>
    </x:row>
    <x:row r="323" ht="22" customHeight="1">
      <x:c r="A323" s="93" t="n">
        <x:v>44446</x:v>
      </x:c>
      <x:c r="B323" s="24" t="n">
        <x:v>2021</x:v>
      </x:c>
      <x:c r="C323" s="16">
        <x:v>2824</x:v>
      </x:c>
      <x:c r="D323" s="16">
        <x:v>7</x:v>
      </x:c>
      <x:c r="E323" s="16">
        <x:v>0</x:v>
      </x:c>
      <x:c r="F323" s="16">
        <x:v>2</x:v>
      </x:c>
      <x:c r="G323" s="16">
        <x:v>0</x:v>
      </x:c>
      <x:c r="H323" s="16">
        <x:v>67</x:v>
      </x:c>
      <x:c r="I323" s="16">
        <x:v>6</x:v>
      </x:c>
      <x:c r="J323" s="15" t="inlineStr">
        <x:is>
          <x:t xml:space="preserve">19/239</x:t>
        </x:is>
      </x:c>
      <x:c r="K323" s="1"/>
      <x:c r="L323" s="1"/>
    </x:row>
    <x:row r="324" ht="22" customHeight="1">
      <x:c r="A324" s="92" t="n">
        <x:v>44495</x:v>
      </x:c>
      <x:c r="B324" s="21" t="n">
        <x:v>2021</x:v>
      </x:c>
      <x:c r="C324" s="14">
        <x:v>225</x:v>
      </x:c>
      <x:c r="D324" s="14">
        <x:v>0</x:v>
      </x:c>
      <x:c r="E324" s="14">
        <x:v>0</x:v>
      </x:c>
      <x:c r="F324" s="14">
        <x:v>0</x:v>
      </x:c>
      <x:c r="G324" s="14">
        <x:v>0</x:v>
      </x:c>
      <x:c r="H324" s="14">
        <x:v>14</x:v>
      </x:c>
      <x:c r="I324" s="14">
        <x:v>0</x:v>
      </x:c>
      <x:c r="J324" s="13"/>
      <x:c r="K324" s="1"/>
      <x:c r="L324" s="1"/>
    </x:row>
    <x:row r="325" ht="22" customHeight="1">
      <x:c r="A325" s="93" t="n">
        <x:v>44511</x:v>
      </x:c>
      <x:c r="B325" s="24" t="n">
        <x:v>2021</x:v>
      </x:c>
      <x:c r="C325" s="16">
        <x:v>2748</x:v>
      </x:c>
      <x:c r="D325" s="16">
        <x:v>68</x:v>
      </x:c>
      <x:c r="E325" s="16">
        <x:v>3</x:v>
      </x:c>
      <x:c r="F325" s="16">
        <x:v>30</x:v>
      </x:c>
      <x:c r="G325" s="16">
        <x:v>0</x:v>
      </x:c>
      <x:c r="H325" s="16">
        <x:v>76</x:v>
      </x:c>
      <x:c r="I325" s="16">
        <x:v>10</x:v>
      </x:c>
      <x:c r="J325" s="15" t="inlineStr">
        <x:is>
          <x:t xml:space="preserve">20/2</x:t>
        </x:is>
      </x:c>
      <x:c r="K325" s="1"/>
      <x:c r="L325" s="1"/>
    </x:row>
    <x:row r="326" ht="22" customHeight="1">
      <x:c r="A326" s="92" t="n">
        <x:v>44518</x:v>
      </x:c>
      <x:c r="B326" s="21" t="n">
        <x:v>2021</x:v>
      </x:c>
      <x:c r="C326" s="14">
        <x:v>2314</x:v>
      </x:c>
      <x:c r="D326" s="14">
        <x:v>77</x:v>
      </x:c>
      <x:c r="E326" s="14">
        <x:v>4</x:v>
      </x:c>
      <x:c r="F326" s="14">
        <x:v>25</x:v>
      </x:c>
      <x:c r="G326" s="14">
        <x:v>0</x:v>
      </x:c>
      <x:c r="H326" s="14">
        <x:v>73</x:v>
      </x:c>
      <x:c r="I326" s="14">
        <x:v>9</x:v>
      </x:c>
      <x:c r="J326" s="13" t="inlineStr">
        <x:is>
          <x:t xml:space="preserve">20/3</x:t>
        </x:is>
      </x:c>
      <x:c r="K326" s="1"/>
      <x:c r="L326" s="1"/>
    </x:row>
    <x:row r="327" ht="22" customHeight="1">
      <x:c r="A327" s="93" t="n">
        <x:v>44537</x:v>
      </x:c>
      <x:c r="B327" s="24" t="n">
        <x:v>2021</x:v>
      </x:c>
      <x:c r="C327" s="16">
        <x:v>658</x:v>
      </x:c>
      <x:c r="D327" s="16">
        <x:v>0</x:v>
      </x:c>
      <x:c r="E327" s="16">
        <x:v>0</x:v>
      </x:c>
      <x:c r="F327" s="16">
        <x:v>0</x:v>
      </x:c>
      <x:c r="G327" s="16">
        <x:v>0</x:v>
      </x:c>
      <x:c r="H327" s="16">
        <x:v>17</x:v>
      </x:c>
      <x:c r="I327" s="16">
        <x:v>0</x:v>
      </x:c>
      <x:c r="J327" s="15"/>
      <x:c r="K327" s="1"/>
      <x:c r="L327" s="1"/>
    </x:row>
    <x:row r="328" ht="22" customHeight="1">
      <x:c r="A328" s="92" t="n">
        <x:v>44538</x:v>
      </x:c>
      <x:c r="B328" s="21" t="n">
        <x:v>2021</x:v>
      </x:c>
      <x:c r="C328" s="14">
        <x:v>18</x:v>
      </x:c>
      <x:c r="D328" s="14">
        <x:v>0</x:v>
      </x:c>
      <x:c r="E328" s="14">
        <x:v>0</x:v>
      </x:c>
      <x:c r="F328" s="14">
        <x:v>0</x:v>
      </x:c>
      <x:c r="G328" s="14">
        <x:v>0</x:v>
      </x:c>
      <x:c r="H328" s="14">
        <x:v>18</x:v>
      </x:c>
      <x:c r="I328" s="14">
        <x:v>0</x:v>
      </x:c>
      <x:c r="J328" s="13"/>
      <x:c r="K328" s="1"/>
      <x:c r="L328" s="1"/>
    </x:row>
    <x:row r="329" ht="22" customHeight="1">
      <x:c r="A329" s="93" t="n">
        <x:v>44539</x:v>
      </x:c>
      <x:c r="B329" s="24" t="n">
        <x:v>2021</x:v>
      </x:c>
      <x:c r="C329" s="16">
        <x:v>1896</x:v>
      </x:c>
      <x:c r="D329" s="16">
        <x:v>5</x:v>
      </x:c>
      <x:c r="E329" s="16">
        <x:v>0</x:v>
      </x:c>
      <x:c r="F329" s="16">
        <x:v>2</x:v>
      </x:c>
      <x:c r="G329" s="16">
        <x:v>0</x:v>
      </x:c>
      <x:c r="H329" s="16">
        <x:v>60</x:v>
      </x:c>
      <x:c r="I329" s="16">
        <x:v>5</x:v>
      </x:c>
      <x:c r="J329" s="15" t="inlineStr">
        <x:is>
          <x:t xml:space="preserve">20/6</x:t>
        </x:is>
      </x:c>
      <x:c r="K329" s="1"/>
      <x:c r="L329" s="1"/>
    </x:row>
    <x:row r="330" ht="22" customHeight="1">
      <x:c r="A330" s="92" t="n">
        <x:v>44540</x:v>
      </x:c>
      <x:c r="B330" s="21" t="n">
        <x:v>2021</x:v>
      </x:c>
      <x:c r="C330" s="14">
        <x:v>901</x:v>
      </x:c>
      <x:c r="D330" s="14">
        <x:v>0</x:v>
      </x:c>
      <x:c r="E330" s="14">
        <x:v>0</x:v>
      </x:c>
      <x:c r="F330" s="14">
        <x:v>0</x:v>
      </x:c>
      <x:c r="G330" s="14">
        <x:v>0</x:v>
      </x:c>
      <x:c r="H330" s="14">
        <x:v>40</x:v>
      </x:c>
      <x:c r="I330" s="14">
        <x:v>0</x:v>
      </x:c>
      <x:c r="J330" s="13"/>
      <x:c r="K330" s="1"/>
      <x:c r="L330" s="1"/>
    </x:row>
    <x:row r="331" ht="22" customHeight="1">
      <x:c r="A331" s="93" t="n">
        <x:v>44545</x:v>
      </x:c>
      <x:c r="B331" s="24" t="n">
        <x:v>2021</x:v>
      </x:c>
      <x:c r="C331" s="16">
        <x:v>1968</x:v>
      </x:c>
      <x:c r="D331" s="16">
        <x:v>4</x:v>
      </x:c>
      <x:c r="E331" s="16">
        <x:v>0</x:v>
      </x:c>
      <x:c r="F331" s="16">
        <x:v>1</x:v>
      </x:c>
      <x:c r="G331" s="16">
        <x:v>1</x:v>
      </x:c>
      <x:c r="H331" s="16">
        <x:v>19</x:v>
      </x:c>
      <x:c r="I331" s="16">
        <x:v>4</x:v>
      </x:c>
      <x:c r="J331" s="15" t="inlineStr">
        <x:is>
          <x:t xml:space="preserve">20/8</x:t>
        </x:is>
      </x:c>
      <x:c r="K331" s="1"/>
      <x:c r="L331" s="1"/>
    </x:row>
    <x:row r="332" ht="22" customHeight="1">
      <x:c r="A332" s="92" t="n">
        <x:v>44546</x:v>
      </x:c>
      <x:c r="B332" s="21" t="n">
        <x:v>2021</x:v>
      </x:c>
      <x:c r="C332" s="14">
        <x:v>3216</x:v>
      </x:c>
      <x:c r="D332" s="14">
        <x:v>5</x:v>
      </x:c>
      <x:c r="E332" s="14">
        <x:v>2</x:v>
      </x:c>
      <x:c r="F332" s="14">
        <x:v>2</x:v>
      </x:c>
      <x:c r="G332" s="14">
        <x:v>0</x:v>
      </x:c>
      <x:c r="H332" s="14">
        <x:v>85</x:v>
      </x:c>
      <x:c r="I332" s="14">
        <x:v>4</x:v>
      </x:c>
      <x:c r="J332" s="13" t="inlineStr">
        <x:is>
          <x:t xml:space="preserve">20/9</x:t>
        </x:is>
      </x:c>
      <x:c r="K332" s="1"/>
      <x:c r="L332" s="1"/>
    </x:row>
    <x:row r="333" ht="22" customHeight="1">
      <x:c r="A333" s="93" t="n">
        <x:v>44573</x:v>
      </x:c>
      <x:c r="B333" s="24" t="n">
        <x:v>2022</x:v>
      </x:c>
      <x:c r="C333" s="16">
        <x:v>2995</x:v>
      </x:c>
      <x:c r="D333" s="16">
        <x:v>19</x:v>
      </x:c>
      <x:c r="E333" s="16">
        <x:v>12</x:v>
      </x:c>
      <x:c r="F333" s="16">
        <x:v>5</x:v>
      </x:c>
      <x:c r="G333" s="16">
        <x:v>0</x:v>
      </x:c>
      <x:c r="H333" s="16">
        <x:v>120</x:v>
      </x:c>
      <x:c r="I333" s="16">
        <x:v>9</x:v>
      </x:c>
      <x:c r="J333" s="15" t="inlineStr">
        <x:is>
          <x:t xml:space="preserve">20/10</x:t>
        </x:is>
      </x:c>
      <x:c r="K333" s="1"/>
      <x:c r="L333" s="1"/>
    </x:row>
    <x:row r="334" ht="22" customHeight="1">
      <x:c r="A334" s="92" t="n">
        <x:v>44574</x:v>
      </x:c>
      <x:c r="B334" s="21" t="n">
        <x:v>2022</x:v>
      </x:c>
      <x:c r="C334" s="14">
        <x:v>5500</x:v>
      </x:c>
      <x:c r="D334" s="14">
        <x:v>9</x:v>
      </x:c>
      <x:c r="E334" s="14">
        <x:v>1</x:v>
      </x:c>
      <x:c r="F334" s="14">
        <x:v>5</x:v>
      </x:c>
      <x:c r="G334" s="14">
        <x:v>0</x:v>
      </x:c>
      <x:c r="H334" s="14">
        <x:v>134</x:v>
      </x:c>
      <x:c r="I334" s="14">
        <x:v>7</x:v>
      </x:c>
      <x:c r="J334" s="13" t="inlineStr">
        <x:is>
          <x:t xml:space="preserve">20/11</x:t>
        </x:is>
      </x:c>
      <x:c r="K334" s="1"/>
      <x:c r="L334" s="1"/>
    </x:row>
    <x:row r="335" ht="22" customHeight="1">
      <x:c r="A335" s="93" t="n">
        <x:v>44575</x:v>
      </x:c>
      <x:c r="B335" s="24" t="n">
        <x:v>2022</x:v>
      </x:c>
      <x:c r="C335" s="16">
        <x:v>2851</x:v>
      </x:c>
      <x:c r="D335" s="16">
        <x:v>260</x:v>
      </x:c>
      <x:c r="E335" s="16">
        <x:v>49</x:v>
      </x:c>
      <x:c r="F335" s="16">
        <x:v>68</x:v>
      </x:c>
      <x:c r="G335" s="16">
        <x:v>6</x:v>
      </x:c>
      <x:c r="H335" s="16">
        <x:v>68</x:v>
      </x:c>
      <x:c r="I335" s="16">
        <x:v>20</x:v>
      </x:c>
      <x:c r="J335" s="15" t="inlineStr">
        <x:is>
          <x:t xml:space="preserve">20/12</x:t>
        </x:is>
      </x:c>
      <x:c r="K335" s="1"/>
      <x:c r="L335" s="1"/>
    </x:row>
    <x:row r="336" ht="22" customHeight="1">
      <x:c r="A336" s="92" t="n">
        <x:v>44587</x:v>
      </x:c>
      <x:c r="B336" s="21" t="n">
        <x:v>2022</x:v>
      </x:c>
      <x:c r="C336" s="14">
        <x:v>2598</x:v>
      </x:c>
      <x:c r="D336" s="14">
        <x:v>1</x:v>
      </x:c>
      <x:c r="E336" s="14">
        <x:v>0</x:v>
      </x:c>
      <x:c r="F336" s="14">
        <x:v>0</x:v>
      </x:c>
      <x:c r="G336" s="14">
        <x:v>0</x:v>
      </x:c>
      <x:c r="H336" s="14">
        <x:v>128</x:v>
      </x:c>
      <x:c r="I336" s="14">
        <x:v>1</x:v>
      </x:c>
      <x:c r="J336" s="13" t="inlineStr">
        <x:is>
          <x:t xml:space="preserve">20/13</x:t>
        </x:is>
      </x:c>
      <x:c r="K336" s="1"/>
      <x:c r="L336" s="1"/>
    </x:row>
    <x:row r="337" ht="22" customHeight="1">
      <x:c r="A337" s="93" t="n">
        <x:v>44588</x:v>
      </x:c>
      <x:c r="B337" s="24" t="n">
        <x:v>2022</x:v>
      </x:c>
      <x:c r="C337" s="16">
        <x:v>2764</x:v>
      </x:c>
      <x:c r="D337" s="16">
        <x:v>113</x:v>
      </x:c>
      <x:c r="E337" s="16">
        <x:v>38</x:v>
      </x:c>
      <x:c r="F337" s="16">
        <x:v>30</x:v>
      </x:c>
      <x:c r="G337" s="16">
        <x:v>3</x:v>
      </x:c>
      <x:c r="H337" s="16">
        <x:v>85</x:v>
      </x:c>
      <x:c r="I337" s="16">
        <x:v>9</x:v>
      </x:c>
      <x:c r="J337" s="15" t="inlineStr">
        <x:is>
          <x:t xml:space="preserve">20/14</x:t>
        </x:is>
      </x:c>
      <x:c r="K337" s="1"/>
      <x:c r="L337" s="1"/>
    </x:row>
    <x:row r="338" ht="22" customHeight="1">
      <x:c r="A338" s="92" t="n">
        <x:v>44589</x:v>
      </x:c>
      <x:c r="B338" s="21" t="n">
        <x:v>2022</x:v>
      </x:c>
      <x:c r="C338" s="14">
        <x:v>2035</x:v>
      </x:c>
      <x:c r="D338" s="14">
        <x:v>121</x:v>
      </x:c>
      <x:c r="E338" s="14">
        <x:v>18</x:v>
      </x:c>
      <x:c r="F338" s="14">
        <x:v>57</x:v>
      </x:c>
      <x:c r="G338" s="14">
        <x:v>4</x:v>
      </x:c>
      <x:c r="H338" s="14">
        <x:v>58</x:v>
      </x:c>
      <x:c r="I338" s="14">
        <x:v>11</x:v>
      </x:c>
      <x:c r="J338" s="13" t="inlineStr">
        <x:is>
          <x:t xml:space="preserve">20/15</x:t>
        </x:is>
      </x:c>
      <x:c r="K338" s="1"/>
      <x:c r="L338" s="1"/>
    </x:row>
    <x:row r="339" ht="22" customHeight="1">
      <x:c r="A339" s="93" t="n">
        <x:v>44608</x:v>
      </x:c>
      <x:c r="B339" s="24" t="n">
        <x:v>2022</x:v>
      </x:c>
      <x:c r="C339" s="16">
        <x:v>965</x:v>
      </x:c>
      <x:c r="D339" s="16">
        <x:v>0</x:v>
      </x:c>
      <x:c r="E339" s="16">
        <x:v>0</x:v>
      </x:c>
      <x:c r="F339" s="16">
        <x:v>0</x:v>
      </x:c>
      <x:c r="G339" s="16">
        <x:v>0</x:v>
      </x:c>
      <x:c r="H339" s="16">
        <x:v>82</x:v>
      </x:c>
      <x:c r="I339" s="16">
        <x:v>0</x:v>
      </x:c>
      <x:c r="J339" s="15"/>
      <x:c r="K339" s="1"/>
      <x:c r="L339" s="1"/>
    </x:row>
    <x:row r="340" ht="22" customHeight="1">
      <x:c r="A340" s="92" t="n">
        <x:v>44609</x:v>
      </x:c>
      <x:c r="B340" s="21" t="n">
        <x:v>2022</x:v>
      </x:c>
      <x:c r="C340" s="14">
        <x:v>5199</x:v>
      </x:c>
      <x:c r="D340" s="14">
        <x:v>15</x:v>
      </x:c>
      <x:c r="E340" s="14">
        <x:v>3</x:v>
      </x:c>
      <x:c r="F340" s="14">
        <x:v>3</x:v>
      </x:c>
      <x:c r="G340" s="14">
        <x:v>2</x:v>
      </x:c>
      <x:c r="H340" s="14">
        <x:v>161</x:v>
      </x:c>
      <x:c r="I340" s="14">
        <x:v>10</x:v>
      </x:c>
      <x:c r="J340" s="13" t="inlineStr">
        <x:is>
          <x:t xml:space="preserve">20/17</x:t>
        </x:is>
      </x:c>
      <x:c r="K340" s="1"/>
      <x:c r="L340" s="1"/>
    </x:row>
    <x:row r="341" ht="22" customHeight="1">
      <x:c r="A341" s="93" t="n">
        <x:v>44610</x:v>
      </x:c>
      <x:c r="B341" s="24" t="n">
        <x:v>2022</x:v>
      </x:c>
      <x:c r="C341" s="16">
        <x:v>3362</x:v>
      </x:c>
      <x:c r="D341" s="16">
        <x:v>12</x:v>
      </x:c>
      <x:c r="E341" s="16">
        <x:v>3</x:v>
      </x:c>
      <x:c r="F341" s="16">
        <x:v>4</x:v>
      </x:c>
      <x:c r="G341" s="16">
        <x:v>1</x:v>
      </x:c>
      <x:c r="H341" s="16">
        <x:v>91</x:v>
      </x:c>
      <x:c r="I341" s="16">
        <x:v>4</x:v>
      </x:c>
      <x:c r="J341" s="15" t="inlineStr">
        <x:is>
          <x:t xml:space="preserve">20/18</x:t>
        </x:is>
      </x:c>
      <x:c r="K341" s="1"/>
      <x:c r="L341" s="1"/>
    </x:row>
    <x:row r="342" ht="22" customHeight="1">
      <x:c r="A342" s="92" t="n">
        <x:v>44619</x:v>
      </x:c>
      <x:c r="B342" s="21" t="n">
        <x:v>2022</x:v>
      </x:c>
      <x:c r="C342" s="14">
        <x:v>1353</x:v>
      </x:c>
      <x:c r="D342" s="14">
        <x:v>2</x:v>
      </x:c>
      <x:c r="E342" s="14">
        <x:v>0</x:v>
      </x:c>
      <x:c r="F342" s="14">
        <x:v>1</x:v>
      </x:c>
      <x:c r="G342" s="14">
        <x:v>2</x:v>
      </x:c>
      <x:c r="H342" s="14">
        <x:v>26</x:v>
      </x:c>
      <x:c r="I342" s="14">
        <x:v>2</x:v>
      </x:c>
      <x:c r="J342" s="13" t="inlineStr">
        <x:is>
          <x:t xml:space="preserve">20/19</x:t>
        </x:is>
      </x:c>
      <x:c r="K342" s="1"/>
      <x:c r="L342" s="1"/>
    </x:row>
    <x:row r="343" ht="22" customHeight="1">
      <x:c r="A343" s="93" t="n">
        <x:v>44636</x:v>
      </x:c>
      <x:c r="B343" s="24" t="n">
        <x:v>2022</x:v>
      </x:c>
      <x:c r="C343" s="16">
        <x:v>2852</x:v>
      </x:c>
      <x:c r="D343" s="16">
        <x:v>3</x:v>
      </x:c>
      <x:c r="E343" s="16">
        <x:v>1</x:v>
      </x:c>
      <x:c r="F343" s="16">
        <x:v>0</x:v>
      </x:c>
      <x:c r="G343" s="16">
        <x:v>0</x:v>
      </x:c>
      <x:c r="H343" s="16">
        <x:v>134</x:v>
      </x:c>
      <x:c r="I343" s="16">
        <x:v>2</x:v>
      </x:c>
      <x:c r="J343" s="15" t="inlineStr">
        <x:is>
          <x:t xml:space="preserve">20/20</x:t>
        </x:is>
      </x:c>
      <x:c r="K343" s="1"/>
      <x:c r="L343" s="1"/>
    </x:row>
    <x:row r="344" ht="22" customHeight="1">
      <x:c r="A344" s="92" t="n">
        <x:v>44637</x:v>
      </x:c>
      <x:c r="B344" s="21" t="n">
        <x:v>2022</x:v>
      </x:c>
      <x:c r="C344" s="14">
        <x:v>6283</x:v>
      </x:c>
      <x:c r="D344" s="14">
        <x:v>88</x:v>
      </x:c>
      <x:c r="E344" s="14">
        <x:v>22</x:v>
      </x:c>
      <x:c r="F344" s="14">
        <x:v>31</x:v>
      </x:c>
      <x:c r="G344" s="14">
        <x:v>21</x:v>
      </x:c>
      <x:c r="H344" s="14">
        <x:v>175</x:v>
      </x:c>
      <x:c r="I344" s="14">
        <x:v>18</x:v>
      </x:c>
      <x:c r="J344" s="13" t="inlineStr">
        <x:is>
          <x:t xml:space="preserve">20/21</x:t>
        </x:is>
      </x:c>
      <x:c r="K344" s="1"/>
      <x:c r="L344" s="1"/>
    </x:row>
    <x:row r="345" ht="22" customHeight="1">
      <x:c r="A345" s="93" t="n">
        <x:v>44638</x:v>
      </x:c>
      <x:c r="B345" s="24" t="n">
        <x:v>2022</x:v>
      </x:c>
      <x:c r="C345" s="16">
        <x:v>3299</x:v>
      </x:c>
      <x:c r="D345" s="16">
        <x:v>8</x:v>
      </x:c>
      <x:c r="E345" s="16">
        <x:v>1</x:v>
      </x:c>
      <x:c r="F345" s="16">
        <x:v>1</x:v>
      </x:c>
      <x:c r="G345" s="16">
        <x:v>2</x:v>
      </x:c>
      <x:c r="H345" s="16">
        <x:v>97</x:v>
      </x:c>
      <x:c r="I345" s="16">
        <x:v>6</x:v>
      </x:c>
      <x:c r="J345" s="15" t="inlineStr">
        <x:is>
          <x:t xml:space="preserve">20/22</x:t>
        </x:is>
      </x:c>
      <x:c r="K345" s="1"/>
      <x:c r="L345" s="1"/>
    </x:row>
    <x:row r="346" ht="22" customHeight="1">
      <x:c r="A346" s="92" t="n">
        <x:v>44642</x:v>
      </x:c>
      <x:c r="B346" s="21" t="n">
        <x:v>2022</x:v>
      </x:c>
      <x:c r="C346" s="14">
        <x:v>3477</x:v>
      </x:c>
      <x:c r="D346" s="14">
        <x:v>22</x:v>
      </x:c>
      <x:c r="E346" s="14">
        <x:v>6</x:v>
      </x:c>
      <x:c r="F346" s="14">
        <x:v>6</x:v>
      </x:c>
      <x:c r="G346" s="14">
        <x:v>3</x:v>
      </x:c>
      <x:c r="H346" s="14">
        <x:v>76</x:v>
      </x:c>
      <x:c r="I346" s="14">
        <x:v>14</x:v>
      </x:c>
      <x:c r="J346" s="13" t="inlineStr">
        <x:is>
          <x:t xml:space="preserve">20/23</x:t>
        </x:is>
      </x:c>
      <x:c r="K346" s="1"/>
      <x:c r="L346" s="1"/>
    </x:row>
    <x:row r="347" ht="22" customHeight="1">
      <x:c r="A347" s="93" t="n">
        <x:v>44643</x:v>
      </x:c>
      <x:c r="B347" s="24" t="n">
        <x:v>2022</x:v>
      </x:c>
      <x:c r="C347" s="16">
        <x:v>4043</x:v>
      </x:c>
      <x:c r="D347" s="16">
        <x:v>34</x:v>
      </x:c>
      <x:c r="E347" s="16">
        <x:v>2</x:v>
      </x:c>
      <x:c r="F347" s="16">
        <x:v>9</x:v>
      </x:c>
      <x:c r="G347" s="16">
        <x:v>12</x:v>
      </x:c>
      <x:c r="H347" s="16">
        <x:v>79</x:v>
      </x:c>
      <x:c r="I347" s="16">
        <x:v>18</x:v>
      </x:c>
      <x:c r="J347" s="15" t="inlineStr">
        <x:is>
          <x:t xml:space="preserve">20/24</x:t>
        </x:is>
      </x:c>
      <x:c r="K347" s="1"/>
      <x:c r="L347" s="1"/>
    </x:row>
    <x:row r="348" ht="22" customHeight="1">
      <x:c r="A348" s="92" t="n">
        <x:v>44644</x:v>
      </x:c>
      <x:c r="B348" s="21" t="n">
        <x:v>2022</x:v>
      </x:c>
      <x:c r="C348" s="14">
        <x:v>4843</x:v>
      </x:c>
      <x:c r="D348" s="14">
        <x:v>250</x:v>
      </x:c>
      <x:c r="E348" s="14">
        <x:v>54</x:v>
      </x:c>
      <x:c r="F348" s="14">
        <x:v>62</x:v>
      </x:c>
      <x:c r="G348" s="14">
        <x:v>32</x:v>
      </x:c>
      <x:c r="H348" s="14">
        <x:v>117</x:v>
      </x:c>
      <x:c r="I348" s="14">
        <x:v>19</x:v>
      </x:c>
      <x:c r="J348" s="13" t="inlineStr">
        <x:is>
          <x:t xml:space="preserve">20/25</x:t>
        </x:is>
      </x:c>
      <x:c r="K348" s="1"/>
      <x:c r="L348" s="1"/>
    </x:row>
    <x:row r="349" ht="22" customHeight="1">
      <x:c r="A349" s="93" t="n">
        <x:v>44645</x:v>
      </x:c>
      <x:c r="B349" s="24" t="n">
        <x:v>2022</x:v>
      </x:c>
      <x:c r="C349" s="16">
        <x:v>2745</x:v>
      </x:c>
      <x:c r="D349" s="16">
        <x:v>7</x:v>
      </x:c>
      <x:c r="E349" s="16">
        <x:v>0</x:v>
      </x:c>
      <x:c r="F349" s="16">
        <x:v>5</x:v>
      </x:c>
      <x:c r="G349" s="16">
        <x:v>1</x:v>
      </x:c>
      <x:c r="H349" s="16">
        <x:v>61</x:v>
      </x:c>
      <x:c r="I349" s="16">
        <x:v>6</x:v>
      </x:c>
      <x:c r="J349" s="15" t="inlineStr">
        <x:is>
          <x:t xml:space="preserve">20/26</x:t>
        </x:is>
      </x:c>
      <x:c r="K349" s="1"/>
      <x:c r="L349" s="1"/>
    </x:row>
    <x:row r="350" ht="22" customHeight="1">
      <x:c r="A350" s="92" t="n">
        <x:v>44657</x:v>
      </x:c>
      <x:c r="B350" s="21" t="n">
        <x:v>2022</x:v>
      </x:c>
      <x:c r="C350" s="14">
        <x:v>2263</x:v>
      </x:c>
      <x:c r="D350" s="14">
        <x:v>12</x:v>
      </x:c>
      <x:c r="E350" s="14">
        <x:v>2</x:v>
      </x:c>
      <x:c r="F350" s="14">
        <x:v>6</x:v>
      </x:c>
      <x:c r="G350" s="14">
        <x:v>4</x:v>
      </x:c>
      <x:c r="H350" s="14">
        <x:v>116</x:v>
      </x:c>
      <x:c r="I350" s="14">
        <x:v>9</x:v>
      </x:c>
      <x:c r="J350" s="13" t="inlineStr">
        <x:is>
          <x:t xml:space="preserve">20/27</x:t>
        </x:is>
      </x:c>
      <x:c r="K350" s="1"/>
      <x:c r="L350" s="1"/>
    </x:row>
    <x:row r="351" ht="22" customHeight="1">
      <x:c r="A351" s="93" t="n">
        <x:v>44658</x:v>
      </x:c>
      <x:c r="B351" s="24" t="n">
        <x:v>2022</x:v>
      </x:c>
      <x:c r="C351" s="16">
        <x:v>6220</x:v>
      </x:c>
      <x:c r="D351" s="16">
        <x:v>11</x:v>
      </x:c>
      <x:c r="E351" s="16">
        <x:v>2</x:v>
      </x:c>
      <x:c r="F351" s="16">
        <x:v>5</x:v>
      </x:c>
      <x:c r="G351" s="16">
        <x:v>2</x:v>
      </x:c>
      <x:c r="H351" s="16">
        <x:v>197</x:v>
      </x:c>
      <x:c r="I351" s="16">
        <x:v>6</x:v>
      </x:c>
      <x:c r="J351" s="15" t="inlineStr">
        <x:is>
          <x:t xml:space="preserve">20/28</x:t>
        </x:is>
      </x:c>
      <x:c r="K351" s="1"/>
      <x:c r="L351" s="1"/>
    </x:row>
    <x:row r="352" ht="22" customHeight="1">
      <x:c r="A352" s="92" t="n">
        <x:v>44659</x:v>
      </x:c>
      <x:c r="B352" s="21" t="n">
        <x:v>2022</x:v>
      </x:c>
      <x:c r="C352" s="14">
        <x:v>2291</x:v>
      </x:c>
      <x:c r="D352" s="14">
        <x:v>254</x:v>
      </x:c>
      <x:c r="E352" s="14">
        <x:v>58</x:v>
      </x:c>
      <x:c r="F352" s="14">
        <x:v>76</x:v>
      </x:c>
      <x:c r="G352" s="14">
        <x:v>38</x:v>
      </x:c>
      <x:c r="H352" s="14">
        <x:v>55</x:v>
      </x:c>
      <x:c r="I352" s="14">
        <x:v>29</x:v>
      </x:c>
      <x:c r="J352" s="13" t="inlineStr">
        <x:is>
          <x:t xml:space="preserve">20/29</x:t>
        </x:is>
      </x:c>
      <x:c r="K352" s="1"/>
      <x:c r="L352" s="1"/>
    </x:row>
    <x:row r="353" ht="22" customHeight="1">
      <x:c r="A353" s="93" t="n">
        <x:v>44678</x:v>
      </x:c>
      <x:c r="B353" s="24" t="n">
        <x:v>2022</x:v>
      </x:c>
      <x:c r="C353" s="16">
        <x:v>2342</x:v>
      </x:c>
      <x:c r="D353" s="16">
        <x:v>11</x:v>
      </x:c>
      <x:c r="E353" s="16">
        <x:v>5</x:v>
      </x:c>
      <x:c r="F353" s="16">
        <x:v>1</x:v>
      </x:c>
      <x:c r="G353" s="16">
        <x:v>4</x:v>
      </x:c>
      <x:c r="H353" s="16">
        <x:v>112</x:v>
      </x:c>
      <x:c r="I353" s="16">
        <x:v>7</x:v>
      </x:c>
      <x:c r="J353" s="15" t="inlineStr">
        <x:is>
          <x:t xml:space="preserve">20/30</x:t>
        </x:is>
      </x:c>
      <x:c r="K353" s="1"/>
      <x:c r="L353" s="1"/>
    </x:row>
    <x:row r="354" ht="22" customHeight="1">
      <x:c r="A354" s="92" t="n">
        <x:v>44679</x:v>
      </x:c>
      <x:c r="B354" s="21" t="n">
        <x:v>2022</x:v>
      </x:c>
      <x:c r="C354" s="14">
        <x:v>5476</x:v>
      </x:c>
      <x:c r="D354" s="14">
        <x:v>28</x:v>
      </x:c>
      <x:c r="E354" s="14">
        <x:v>10</x:v>
      </x:c>
      <x:c r="F354" s="14">
        <x:v>11</x:v>
      </x:c>
      <x:c r="G354" s="14">
        <x:v>2</x:v>
      </x:c>
      <x:c r="H354" s="14">
        <x:v>166</x:v>
      </x:c>
      <x:c r="I354" s="14">
        <x:v>16</x:v>
      </x:c>
      <x:c r="J354" s="13" t="inlineStr">
        <x:is>
          <x:t xml:space="preserve">20/31</x:t>
        </x:is>
      </x:c>
      <x:c r="K354" s="1"/>
      <x:c r="L354" s="1"/>
    </x:row>
    <x:row r="355" ht="22" customHeight="1">
      <x:c r="A355" s="93" t="n">
        <x:v>44680</x:v>
      </x:c>
      <x:c r="B355" s="24" t="n">
        <x:v>2022</x:v>
      </x:c>
      <x:c r="C355" s="16">
        <x:v>2279</x:v>
      </x:c>
      <x:c r="D355" s="16">
        <x:v>1</x:v>
      </x:c>
      <x:c r="E355" s="16">
        <x:v>0</x:v>
      </x:c>
      <x:c r="F355" s="16">
        <x:v>1</x:v>
      </x:c>
      <x:c r="G355" s="16">
        <x:v>0</x:v>
      </x:c>
      <x:c r="H355" s="16">
        <x:v>60</x:v>
      </x:c>
      <x:c r="I355" s="16">
        <x:v>1</x:v>
      </x:c>
      <x:c r="J355" s="15" t="inlineStr">
        <x:is>
          <x:t xml:space="preserve">20/32</x:t>
        </x:is>
      </x:c>
      <x:c r="K355" s="1"/>
      <x:c r="L355" s="1"/>
    </x:row>
    <x:row r="356" ht="22" customHeight="1">
      <x:c r="A356" s="92" t="n">
        <x:v>44689</x:v>
      </x:c>
      <x:c r="B356" s="21" t="n">
        <x:v>2022</x:v>
      </x:c>
      <x:c r="C356" s="14">
        <x:v>2898</x:v>
      </x:c>
      <x:c r="D356" s="14">
        <x:v>0</x:v>
      </x:c>
      <x:c r="E356" s="14">
        <x:v>0</x:v>
      </x:c>
      <x:c r="F356" s="14">
        <x:v>0</x:v>
      </x:c>
      <x:c r="G356" s="14">
        <x:v>0</x:v>
      </x:c>
      <x:c r="H356" s="14">
        <x:v>135</x:v>
      </x:c>
      <x:c r="I356" s="14">
        <x:v>0</x:v>
      </x:c>
      <x:c r="J356" s="13"/>
      <x:c r="K356" s="1"/>
      <x:c r="L356" s="1"/>
    </x:row>
    <x:row r="357" ht="22" customHeight="1">
      <x:c r="A357" s="93" t="n">
        <x:v>44692</x:v>
      </x:c>
      <x:c r="B357" s="24" t="n">
        <x:v>2022</x:v>
      </x:c>
      <x:c r="C357" s="16">
        <x:v>2568</x:v>
      </x:c>
      <x:c r="D357" s="16">
        <x:v>179</x:v>
      </x:c>
      <x:c r="E357" s="16">
        <x:v>46</x:v>
      </x:c>
      <x:c r="F357" s="16">
        <x:v>43</x:v>
      </x:c>
      <x:c r="G357" s="16">
        <x:v>28</x:v>
      </x:c>
      <x:c r="H357" s="16">
        <x:v>115</x:v>
      </x:c>
      <x:c r="I357" s="16">
        <x:v>15</x:v>
      </x:c>
      <x:c r="J357" s="15" t="inlineStr">
        <x:is>
          <x:t xml:space="preserve">20/33</x:t>
        </x:is>
      </x:c>
      <x:c r="K357" s="1"/>
      <x:c r="L357" s="1"/>
    </x:row>
    <x:row r="358" ht="22" customHeight="1">
      <x:c r="A358" s="92" t="n">
        <x:v>44693</x:v>
      </x:c>
      <x:c r="B358" s="21" t="n">
        <x:v>2022</x:v>
      </x:c>
      <x:c r="C358" s="14">
        <x:v>7236</x:v>
      </x:c>
      <x:c r="D358" s="14">
        <x:v>117</x:v>
      </x:c>
      <x:c r="E358" s="14">
        <x:v>32</x:v>
      </x:c>
      <x:c r="F358" s="14">
        <x:v>34</x:v>
      </x:c>
      <x:c r="G358" s="14">
        <x:v>26</x:v>
      </x:c>
      <x:c r="H358" s="14">
        <x:v>207</x:v>
      </x:c>
      <x:c r="I358" s="14">
        <x:v>33</x:v>
      </x:c>
      <x:c r="J358" s="13" t="inlineStr">
        <x:is>
          <x:t xml:space="preserve">20/34</x:t>
        </x:is>
      </x:c>
      <x:c r="K358" s="1"/>
      <x:c r="L358" s="1"/>
    </x:row>
    <x:row r="359" ht="22" customHeight="1">
      <x:c r="A359" s="93" t="n">
        <x:v>44694</x:v>
      </x:c>
      <x:c r="B359" s="24" t="n">
        <x:v>2022</x:v>
      </x:c>
      <x:c r="C359" s="16">
        <x:v>3007</x:v>
      </x:c>
      <x:c r="D359" s="16">
        <x:v>18</x:v>
      </x:c>
      <x:c r="E359" s="16">
        <x:v>0</x:v>
      </x:c>
      <x:c r="F359" s="16">
        <x:v>11</x:v>
      </x:c>
      <x:c r="G359" s="16">
        <x:v>0</x:v>
      </x:c>
      <x:c r="H359" s="16">
        <x:v>88</x:v>
      </x:c>
      <x:c r="I359" s="16">
        <x:v>10</x:v>
      </x:c>
      <x:c r="J359" s="15" t="inlineStr">
        <x:is>
          <x:t xml:space="preserve">20/35</x:t>
        </x:is>
      </x:c>
      <x:c r="K359" s="1"/>
      <x:c r="L359" s="1"/>
    </x:row>
    <x:row r="360" ht="22" customHeight="1">
      <x:c r="A360" s="92" t="n">
        <x:v>44700</x:v>
      </x:c>
      <x:c r="B360" s="21" t="n">
        <x:v>2022</x:v>
      </x:c>
      <x:c r="C360" s="14">
        <x:v>6959</x:v>
      </x:c>
      <x:c r="D360" s="14">
        <x:v>106</x:v>
      </x:c>
      <x:c r="E360" s="14">
        <x:v>30</x:v>
      </x:c>
      <x:c r="F360" s="14">
        <x:v>28</x:v>
      </x:c>
      <x:c r="G360" s="14">
        <x:v>26</x:v>
      </x:c>
      <x:c r="H360" s="14">
        <x:v>202</x:v>
      </x:c>
      <x:c r="I360" s="14">
        <x:v>28</x:v>
      </x:c>
      <x:c r="J360" s="13" t="inlineStr">
        <x:is>
          <x:t xml:space="preserve">20/37</x:t>
        </x:is>
      </x:c>
      <x:c r="K360" s="1"/>
      <x:c r="L360" s="1"/>
    </x:row>
    <x:row r="361" ht="22" customHeight="1">
      <x:c r="A361" s="93" t="n">
        <x:v>44701</x:v>
      </x:c>
      <x:c r="B361" s="24" t="n">
        <x:v>2022</x:v>
      </x:c>
      <x:c r="C361" s="16">
        <x:v>2055</x:v>
      </x:c>
      <x:c r="D361" s="16">
        <x:v>5</x:v>
      </x:c>
      <x:c r="E361" s="16">
        <x:v>0</x:v>
      </x:c>
      <x:c r="F361" s="16">
        <x:v>2</x:v>
      </x:c>
      <x:c r="G361" s="16">
        <x:v>1</x:v>
      </x:c>
      <x:c r="H361" s="16">
        <x:v>52</x:v>
      </x:c>
      <x:c r="I361" s="16">
        <x:v>3</x:v>
      </x:c>
      <x:c r="J361" s="15" t="inlineStr">
        <x:is>
          <x:t xml:space="preserve">20/38</x:t>
        </x:is>
      </x:c>
      <x:c r="K361" s="1"/>
      <x:c r="L361" s="1"/>
    </x:row>
    <x:row r="362" ht="22" customHeight="1">
      <x:c r="A362" s="92" t="n">
        <x:v>44712</x:v>
      </x:c>
      <x:c r="B362" s="21" t="n">
        <x:v>2022</x:v>
      </x:c>
      <x:c r="C362" s="14">
        <x:v>4093</x:v>
      </x:c>
      <x:c r="D362" s="14">
        <x:v>31</x:v>
      </x:c>
      <x:c r="E362" s="14">
        <x:v>8</x:v>
      </x:c>
      <x:c r="F362" s="14">
        <x:v>11</x:v>
      </x:c>
      <x:c r="G362" s="14">
        <x:v>4</x:v>
      </x:c>
      <x:c r="H362" s="14">
        <x:v>105</x:v>
      </x:c>
      <x:c r="I362" s="14">
        <x:v>17</x:v>
      </x:c>
      <x:c r="J362" s="13" t="inlineStr">
        <x:is>
          <x:t xml:space="preserve">20/39</x:t>
        </x:is>
      </x:c>
      <x:c r="K362" s="1"/>
      <x:c r="L362" s="1"/>
    </x:row>
    <x:row r="363" ht="22" customHeight="1">
      <x:c r="A363" s="93" t="n">
        <x:v>44713</x:v>
      </x:c>
      <x:c r="B363" s="24" t="n">
        <x:v>2022</x:v>
      </x:c>
      <x:c r="C363" s="16">
        <x:v>4094</x:v>
      </x:c>
      <x:c r="D363" s="16">
        <x:v>32</x:v>
      </x:c>
      <x:c r="E363" s="16">
        <x:v>2</x:v>
      </x:c>
      <x:c r="F363" s="16">
        <x:v>14</x:v>
      </x:c>
      <x:c r="G363" s="16">
        <x:v>12</x:v>
      </x:c>
      <x:c r="H363" s="16">
        <x:v>84</x:v>
      </x:c>
      <x:c r="I363" s="16">
        <x:v>18</x:v>
      </x:c>
      <x:c r="J363" s="15" t="inlineStr">
        <x:is>
          <x:t xml:space="preserve">20/40</x:t>
        </x:is>
      </x:c>
      <x:c r="K363" s="1"/>
      <x:c r="L363" s="1"/>
    </x:row>
    <x:row r="364" ht="22" customHeight="1">
      <x:c r="A364" s="92" t="n">
        <x:v>44714</x:v>
      </x:c>
      <x:c r="B364" s="21" t="n">
        <x:v>2022</x:v>
      </x:c>
      <x:c r="C364" s="14">
        <x:v>5015</x:v>
      </x:c>
      <x:c r="D364" s="14">
        <x:v>252</x:v>
      </x:c>
      <x:c r="E364" s="14">
        <x:v>41</x:v>
      </x:c>
      <x:c r="F364" s="14">
        <x:v>67</x:v>
      </x:c>
      <x:c r="G364" s="14">
        <x:v>20</x:v>
      </x:c>
      <x:c r="H364" s="14">
        <x:v>124</x:v>
      </x:c>
      <x:c r="I364" s="14">
        <x:v>26</x:v>
      </x:c>
      <x:c r="J364" s="13" t="inlineStr">
        <x:is>
          <x:t xml:space="preserve">20/41</x:t>
        </x:is>
      </x:c>
      <x:c r="K364" s="1"/>
      <x:c r="L364" s="1"/>
    </x:row>
    <x:row r="365" ht="22" customHeight="1">
      <x:c r="A365" s="93" t="n">
        <x:v>44715</x:v>
      </x:c>
      <x:c r="B365" s="24" t="n">
        <x:v>2022</x:v>
      </x:c>
      <x:c r="C365" s="16">
        <x:v>3734</x:v>
      </x:c>
      <x:c r="D365" s="16">
        <x:v>19</x:v>
      </x:c>
      <x:c r="E365" s="16">
        <x:v>2</x:v>
      </x:c>
      <x:c r="F365" s="16">
        <x:v>13</x:v>
      </x:c>
      <x:c r="G365" s="16">
        <x:v>2</x:v>
      </x:c>
      <x:c r="H365" s="16">
        <x:v>105</x:v>
      </x:c>
      <x:c r="I365" s="16">
        <x:v>16</x:v>
      </x:c>
      <x:c r="J365" s="15" t="inlineStr">
        <x:is>
          <x:t xml:space="preserve">20/42</x:t>
        </x:is>
      </x:c>
      <x:c r="K365" s="1"/>
      <x:c r="L365" s="1"/>
    </x:row>
    <x:row r="366" ht="22" customHeight="1">
      <x:c r="A366" s="92" t="n">
        <x:v>44734</x:v>
      </x:c>
      <x:c r="B366" s="21" t="n">
        <x:v>2022</x:v>
      </x:c>
      <x:c r="C366" s="14">
        <x:v>2640</x:v>
      </x:c>
      <x:c r="D366" s="14">
        <x:v>12</x:v>
      </x:c>
      <x:c r="E366" s="14">
        <x:v>2</x:v>
      </x:c>
      <x:c r="F366" s="14">
        <x:v>5</x:v>
      </x:c>
      <x:c r="G366" s="14">
        <x:v>1</x:v>
      </x:c>
      <x:c r="H366" s="14">
        <x:v>134</x:v>
      </x:c>
      <x:c r="I366" s="14">
        <x:v>9</x:v>
      </x:c>
      <x:c r="J366" s="13" t="inlineStr">
        <x:is>
          <x:t xml:space="preserve">20/43</x:t>
        </x:is>
      </x:c>
      <x:c r="K366" s="1"/>
      <x:c r="L366" s="1"/>
    </x:row>
    <x:row r="367" ht="22" customHeight="1">
      <x:c r="A367" s="93" t="n">
        <x:v>44735</x:v>
      </x:c>
      <x:c r="B367" s="24" t="n">
        <x:v>2022</x:v>
      </x:c>
      <x:c r="C367" s="16">
        <x:v>7158</x:v>
      </x:c>
      <x:c r="D367" s="16">
        <x:v>165</x:v>
      </x:c>
      <x:c r="E367" s="16">
        <x:v>12</x:v>
      </x:c>
      <x:c r="F367" s="16">
        <x:v>75</x:v>
      </x:c>
      <x:c r="G367" s="16">
        <x:v>7</x:v>
      </x:c>
      <x:c r="H367" s="16">
        <x:v>201</x:v>
      </x:c>
      <x:c r="I367" s="16">
        <x:v>53</x:v>
      </x:c>
      <x:c r="J367" s="15" t="inlineStr">
        <x:is>
          <x:t xml:space="preserve">20/44</x:t>
        </x:is>
      </x:c>
      <x:c r="K367" s="1"/>
      <x:c r="L367" s="1"/>
    </x:row>
    <x:row r="368" ht="22" customHeight="1">
      <x:c r="A368" s="92" t="n">
        <x:v>44736</x:v>
      </x:c>
      <x:c r="B368" s="21" t="n">
        <x:v>2022</x:v>
      </x:c>
      <x:c r="C368" s="14">
        <x:v>3509</x:v>
      </x:c>
      <x:c r="D368" s="14">
        <x:v>2</x:v>
      </x:c>
      <x:c r="E368" s="14">
        <x:v>0</x:v>
      </x:c>
      <x:c r="F368" s="14">
        <x:v>1</x:v>
      </x:c>
      <x:c r="G368" s="14">
        <x:v>0</x:v>
      </x:c>
      <x:c r="H368" s="14">
        <x:v>98</x:v>
      </x:c>
      <x:c r="I368" s="14">
        <x:v>2</x:v>
      </x:c>
      <x:c r="J368" s="13" t="inlineStr">
        <x:is>
          <x:t xml:space="preserve">20/45</x:t>
        </x:is>
      </x:c>
      <x:c r="K368" s="1"/>
      <x:c r="L368" s="1"/>
    </x:row>
    <x:row r="369" ht="22" customHeight="1">
      <x:c r="A369" s="93" t="n">
        <x:v>44748</x:v>
      </x:c>
      <x:c r="B369" s="24" t="n">
        <x:v>2022</x:v>
      </x:c>
      <x:c r="C369" s="16">
        <x:v>2499</x:v>
      </x:c>
      <x:c r="D369" s="16">
        <x:v>10</x:v>
      </x:c>
      <x:c r="E369" s="16">
        <x:v>1</x:v>
      </x:c>
      <x:c r="F369" s="16">
        <x:v>7</x:v>
      </x:c>
      <x:c r="G369" s="16">
        <x:v>2</x:v>
      </x:c>
      <x:c r="H369" s="16">
        <x:v>113</x:v>
      </x:c>
      <x:c r="I369" s="16">
        <x:v>9</x:v>
      </x:c>
      <x:c r="J369" s="15" t="inlineStr">
        <x:is>
          <x:t xml:space="preserve">20/46</x:t>
        </x:is>
      </x:c>
      <x:c r="K369" s="1"/>
      <x:c r="L369" s="1"/>
    </x:row>
    <x:row r="370" ht="22" customHeight="1">
      <x:c r="A370" s="92" t="n">
        <x:v>44749</x:v>
      </x:c>
      <x:c r="B370" s="21" t="n">
        <x:v>2022</x:v>
      </x:c>
      <x:c r="C370" s="14">
        <x:v>7162</x:v>
      </x:c>
      <x:c r="D370" s="14">
        <x:v>94</x:v>
      </x:c>
      <x:c r="E370" s="14">
        <x:v>21</x:v>
      </x:c>
      <x:c r="F370" s="14">
        <x:v>29</x:v>
      </x:c>
      <x:c r="G370" s="14">
        <x:v>3</x:v>
      </x:c>
      <x:c r="H370" s="14">
        <x:v>207</x:v>
      </x:c>
      <x:c r="I370" s="14">
        <x:v>24</x:v>
      </x:c>
      <x:c r="J370" s="13" t="inlineStr">
        <x:is>
          <x:t xml:space="preserve">20/47</x:t>
        </x:is>
      </x:c>
      <x:c r="K370" s="1"/>
      <x:c r="L370" s="1"/>
    </x:row>
    <x:row r="371" ht="22" customHeight="1">
      <x:c r="A371" s="93" t="n">
        <x:v>44750</x:v>
      </x:c>
      <x:c r="B371" s="24" t="n">
        <x:v>2022</x:v>
      </x:c>
      <x:c r="C371" s="16">
        <x:v>3421</x:v>
      </x:c>
      <x:c r="D371" s="16">
        <x:v>8</x:v>
      </x:c>
      <x:c r="E371" s="16">
        <x:v>0</x:v>
      </x:c>
      <x:c r="F371" s="16">
        <x:v>5</x:v>
      </x:c>
      <x:c r="G371" s="16">
        <x:v>1</x:v>
      </x:c>
      <x:c r="H371" s="16">
        <x:v>98</x:v>
      </x:c>
      <x:c r="I371" s="16">
        <x:v>7</x:v>
      </x:c>
      <x:c r="J371" s="15" t="inlineStr">
        <x:is>
          <x:t xml:space="preserve">20/48</x:t>
        </x:is>
      </x:c>
      <x:c r="K371" s="1"/>
      <x:c r="L371" s="1"/>
    </x:row>
    <x:row r="372" ht="22" customHeight="1">
      <x:c r="A372" s="92" t="n">
        <x:v>44810</x:v>
      </x:c>
      <x:c r="B372" s="21" t="n">
        <x:v>2022</x:v>
      </x:c>
      <x:c r="C372" s="14">
        <x:v>4136</x:v>
      </x:c>
      <x:c r="D372" s="14">
        <x:v>20</x:v>
      </x:c>
      <x:c r="E372" s="14">
        <x:v>5</x:v>
      </x:c>
      <x:c r="F372" s="14">
        <x:v>5</x:v>
      </x:c>
      <x:c r="G372" s="14">
        <x:v>2</x:v>
      </x:c>
      <x:c r="H372" s="14">
        <x:v>99</x:v>
      </x:c>
      <x:c r="I372" s="14">
        <x:v>16</x:v>
      </x:c>
      <x:c r="J372" s="13" t="inlineStr">
        <x:is>
          <x:t xml:space="preserve">20/49</x:t>
        </x:is>
      </x:c>
      <x:c r="K372" s="1"/>
      <x:c r="L372" s="1"/>
    </x:row>
    <x:row r="373" ht="22" customHeight="1">
      <x:c r="A373" s="93" t="n">
        <x:v>44811</x:v>
      </x:c>
      <x:c r="B373" s="24" t="n">
        <x:v>2022</x:v>
      </x:c>
      <x:c r="C373" s="16">
        <x:v>4120</x:v>
      </x:c>
      <x:c r="D373" s="16">
        <x:v>34</x:v>
      </x:c>
      <x:c r="E373" s="16">
        <x:v>4</x:v>
      </x:c>
      <x:c r="F373" s="16">
        <x:v>8</x:v>
      </x:c>
      <x:c r="G373" s="16">
        <x:v>14</x:v>
      </x:c>
      <x:c r="H373" s="16">
        <x:v>83</x:v>
      </x:c>
      <x:c r="I373" s="16">
        <x:v>21</x:v>
      </x:c>
      <x:c r="J373" s="15" t="inlineStr">
        <x:is>
          <x:t xml:space="preserve">20/50</x:t>
        </x:is>
      </x:c>
      <x:c r="K373" s="1"/>
      <x:c r="L373" s="1"/>
    </x:row>
    <x:row r="374" ht="22" customHeight="1">
      <x:c r="A374" s="92" t="n">
        <x:v>44812</x:v>
      </x:c>
      <x:c r="B374" s="21" t="n">
        <x:v>2022</x:v>
      </x:c>
      <x:c r="C374" s="14">
        <x:v>6428</x:v>
      </x:c>
      <x:c r="D374" s="14">
        <x:v>220</x:v>
      </x:c>
      <x:c r="E374" s="14">
        <x:v>42</x:v>
      </x:c>
      <x:c r="F374" s="14">
        <x:v>60</x:v>
      </x:c>
      <x:c r="G374" s="14">
        <x:v>13</x:v>
      </x:c>
      <x:c r="H374" s="14">
        <x:v>170</x:v>
      </x:c>
      <x:c r="I374" s="14">
        <x:v>24</x:v>
      </x:c>
      <x:c r="J374" s="13" t="inlineStr">
        <x:is>
          <x:t xml:space="preserve">20/51</x:t>
        </x:is>
      </x:c>
      <x:c r="K374" s="1"/>
      <x:c r="L374" s="1"/>
    </x:row>
    <x:row r="375" ht="22" customHeight="1">
      <x:c r="A375" s="93" t="n">
        <x:v>44813</x:v>
      </x:c>
      <x:c r="B375" s="24" t="n">
        <x:v>2022</x:v>
      </x:c>
      <x:c r="C375" s="16">
        <x:v>1690</x:v>
      </x:c>
      <x:c r="D375" s="16">
        <x:v>6</x:v>
      </x:c>
      <x:c r="E375" s="16">
        <x:v>0</x:v>
      </x:c>
      <x:c r="F375" s="16">
        <x:v>3</x:v>
      </x:c>
      <x:c r="G375" s="16">
        <x:v>0</x:v>
      </x:c>
      <x:c r="H375" s="16">
        <x:v>39</x:v>
      </x:c>
      <x:c r="I375" s="16">
        <x:v>5</x:v>
      </x:c>
      <x:c r="J375" s="15" t="inlineStr">
        <x:is>
          <x:t xml:space="preserve">20/52</x:t>
        </x:is>
      </x:c>
      <x:c r="K375" s="1"/>
      <x:c r="L375" s="1"/>
    </x:row>
    <x:row r="376" ht="22" customHeight="1">
      <x:c r="A376" s="92" t="n">
        <x:v>44825</x:v>
      </x:c>
      <x:c r="B376" s="21" t="n">
        <x:v>2022</x:v>
      </x:c>
      <x:c r="C376" s="14">
        <x:v>2872</x:v>
      </x:c>
      <x:c r="D376" s="14">
        <x:v>161</x:v>
      </x:c>
      <x:c r="E376" s="14">
        <x:v>53</x:v>
      </x:c>
      <x:c r="F376" s="14">
        <x:v>41</x:v>
      </x:c>
      <x:c r="G376" s="14">
        <x:v>25</x:v>
      </x:c>
      <x:c r="H376" s="14">
        <x:v>116</x:v>
      </x:c>
      <x:c r="I376" s="14">
        <x:v>55</x:v>
      </x:c>
      <x:c r="J376" s="13" t="inlineStr">
        <x:is>
          <x:t xml:space="preserve">20/53</x:t>
        </x:is>
      </x:c>
      <x:c r="K376" s="1"/>
      <x:c r="L376" s="1"/>
    </x:row>
    <x:row r="377" ht="22" customHeight="1">
      <x:c r="A377" s="93" t="n">
        <x:v>44826</x:v>
      </x:c>
      <x:c r="B377" s="24" t="n">
        <x:v>2022</x:v>
      </x:c>
      <x:c r="C377" s="16">
        <x:v>7159</x:v>
      </x:c>
      <x:c r="D377" s="16">
        <x:v>111</x:v>
      </x:c>
      <x:c r="E377" s="16">
        <x:v>40</x:v>
      </x:c>
      <x:c r="F377" s="16">
        <x:v>30</x:v>
      </x:c>
      <x:c r="G377" s="16">
        <x:v>8</x:v>
      </x:c>
      <x:c r="H377" s="16">
        <x:v>203</x:v>
      </x:c>
      <x:c r="I377" s="16">
        <x:v>29</x:v>
      </x:c>
      <x:c r="J377" s="15" t="inlineStr">
        <x:is>
          <x:t xml:space="preserve">20/54</x:t>
        </x:is>
      </x:c>
      <x:c r="K377" s="1"/>
      <x:c r="L377" s="1"/>
    </x:row>
    <x:row r="378" ht="22" customHeight="1">
      <x:c r="A378" s="92" t="n">
        <x:v>44827</x:v>
      </x:c>
      <x:c r="B378" s="21" t="n">
        <x:v>2022</x:v>
      </x:c>
      <x:c r="C378" s="14">
        <x:v>3850</x:v>
      </x:c>
      <x:c r="D378" s="14">
        <x:v>13</x:v>
      </x:c>
      <x:c r="E378" s="14">
        <x:v>1</x:v>
      </x:c>
      <x:c r="F378" s="14">
        <x:v>9</x:v>
      </x:c>
      <x:c r="G378" s="14">
        <x:v>0</x:v>
      </x:c>
      <x:c r="H378" s="14">
        <x:v>92</x:v>
      </x:c>
      <x:c r="I378" s="14">
        <x:v>10</x:v>
      </x:c>
      <x:c r="J378" s="13" t="inlineStr">
        <x:is>
          <x:t xml:space="preserve">20/55</x:t>
        </x:is>
      </x:c>
      <x:c r="K378" s="1"/>
      <x:c r="L378" s="1"/>
    </x:row>
    <x:row r="379" ht="22" customHeight="1">
      <x:c r="A379" s="93" t="n">
        <x:v>44832</x:v>
      </x:c>
      <x:c r="B379" s="24" t="n">
        <x:v>2022</x:v>
      </x:c>
      <x:c r="C379" s="16">
        <x:v>2366</x:v>
      </x:c>
      <x:c r="D379" s="16">
        <x:v>3</x:v>
      </x:c>
      <x:c r="E379" s="16">
        <x:v>0</x:v>
      </x:c>
      <x:c r="F379" s="16">
        <x:v>2</x:v>
      </x:c>
      <x:c r="G379" s="16">
        <x:v>0</x:v>
      </x:c>
      <x:c r="H379" s="16">
        <x:v>120</x:v>
      </x:c>
      <x:c r="I379" s="16">
        <x:v>3</x:v>
      </x:c>
      <x:c r="J379" s="15" t="inlineStr">
        <x:is>
          <x:t xml:space="preserve">20/56</x:t>
        </x:is>
      </x:c>
      <x:c r="K379" s="1"/>
      <x:c r="L379" s="1"/>
    </x:row>
    <x:row r="380" ht="22" customHeight="1">
      <x:c r="A380" s="92" t="n">
        <x:v>44833</x:v>
      </x:c>
      <x:c r="B380" s="21" t="n">
        <x:v>2022</x:v>
      </x:c>
      <x:c r="C380" s="14">
        <x:v>6624</x:v>
      </x:c>
      <x:c r="D380" s="14">
        <x:v>145</x:v>
      </x:c>
      <x:c r="E380" s="14">
        <x:v>29</x:v>
      </x:c>
      <x:c r="F380" s="14">
        <x:v>20</x:v>
      </x:c>
      <x:c r="G380" s="14">
        <x:v>13</x:v>
      </x:c>
      <x:c r="H380" s="14">
        <x:v>194</x:v>
      </x:c>
      <x:c r="I380" s="14">
        <x:v>39</x:v>
      </x:c>
      <x:c r="J380" s="13" t="inlineStr">
        <x:is>
          <x:t xml:space="preserve">20/57</x:t>
        </x:is>
      </x:c>
      <x:c r="K380" s="1"/>
      <x:c r="L380" s="1"/>
    </x:row>
    <x:row r="381" ht="22" customHeight="1">
      <x:c r="A381" s="93" t="n">
        <x:v>44834</x:v>
      </x:c>
      <x:c r="B381" s="24" t="n">
        <x:v>2022</x:v>
      </x:c>
      <x:c r="C381" s="16">
        <x:v>2939</x:v>
      </x:c>
      <x:c r="D381" s="16">
        <x:v>58</x:v>
      </x:c>
      <x:c r="E381" s="16">
        <x:v>2</x:v>
      </x:c>
      <x:c r="F381" s="16">
        <x:v>37</x:v>
      </x:c>
      <x:c r="G381" s="16">
        <x:v>4</x:v>
      </x:c>
      <x:c r="H381" s="16">
        <x:v>69</x:v>
      </x:c>
      <x:c r="I381" s="16">
        <x:v>12</x:v>
      </x:c>
      <x:c r="J381" s="15" t="inlineStr">
        <x:is>
          <x:t xml:space="preserve">20/58</x:t>
        </x:is>
      </x:c>
      <x:c r="K381" s="1"/>
      <x:c r="L381" s="1"/>
    </x:row>
    <x:row r="382" ht="22" customHeight="1">
      <x:c r="A382" s="92" t="n">
        <x:v>44846</x:v>
      </x:c>
      <x:c r="B382" s="21" t="n">
        <x:v>2022</x:v>
      </x:c>
      <x:c r="C382" s="14">
        <x:v>2553</x:v>
      </x:c>
      <x:c r="D382" s="14">
        <x:v>4</x:v>
      </x:c>
      <x:c r="E382" s="14">
        <x:v>0</x:v>
      </x:c>
      <x:c r="F382" s="14">
        <x:v>2</x:v>
      </x:c>
      <x:c r="G382" s="14">
        <x:v>1</x:v>
      </x:c>
      <x:c r="H382" s="14">
        <x:v>148</x:v>
      </x:c>
      <x:c r="I382" s="14">
        <x:v>3</x:v>
      </x:c>
      <x:c r="J382" s="13" t="inlineStr">
        <x:is>
          <x:t xml:space="preserve">20/59</x:t>
        </x:is>
      </x:c>
      <x:c r="K382" s="1"/>
      <x:c r="L382" s="1"/>
    </x:row>
    <x:row r="383" ht="22" customHeight="1">
      <x:c r="A383" s="93" t="n">
        <x:v>44847</x:v>
      </x:c>
      <x:c r="B383" s="24" t="n">
        <x:v>2022</x:v>
      </x:c>
      <x:c r="C383" s="16">
        <x:v>6641</x:v>
      </x:c>
      <x:c r="D383" s="16">
        <x:v>116</x:v>
      </x:c>
      <x:c r="E383" s="16">
        <x:v>45</x:v>
      </x:c>
      <x:c r="F383" s="16">
        <x:v>14</x:v>
      </x:c>
      <x:c r="G383" s="16">
        <x:v>2</x:v>
      </x:c>
      <x:c r="H383" s="16">
        <x:v>179</x:v>
      </x:c>
      <x:c r="I383" s="16">
        <x:v>21</x:v>
      </x:c>
      <x:c r="J383" s="15" t="inlineStr">
        <x:is>
          <x:t xml:space="preserve">20/60</x:t>
        </x:is>
      </x:c>
      <x:c r="K383" s="1"/>
      <x:c r="L383" s="1"/>
    </x:row>
    <x:row r="384" ht="22" customHeight="1">
      <x:c r="A384" s="92" t="n">
        <x:v>44848</x:v>
      </x:c>
      <x:c r="B384" s="21" t="n">
        <x:v>2022</x:v>
      </x:c>
      <x:c r="C384" s="14">
        <x:v>3097</x:v>
      </x:c>
      <x:c r="D384" s="14">
        <x:v>9</x:v>
      </x:c>
      <x:c r="E384" s="14">
        <x:v>1</x:v>
      </x:c>
      <x:c r="F384" s="14">
        <x:v>4</x:v>
      </x:c>
      <x:c r="G384" s="14">
        <x:v>2</x:v>
      </x:c>
      <x:c r="H384" s="14">
        <x:v>81</x:v>
      </x:c>
      <x:c r="I384" s="14">
        <x:v>3</x:v>
      </x:c>
      <x:c r="J384" s="13" t="inlineStr">
        <x:is>
          <x:t xml:space="preserve">20/61</x:t>
        </x:is>
      </x:c>
      <x:c r="K384" s="1"/>
      <x:c r="L384" s="1"/>
    </x:row>
    <x:row r="385" ht="22" customHeight="1">
      <x:c r="A385" s="93" t="n">
        <x:v>44853</x:v>
      </x:c>
      <x:c r="B385" s="24" t="n">
        <x:v>2022</x:v>
      </x:c>
      <x:c r="C385" s="16">
        <x:v>2718</x:v>
      </x:c>
      <x:c r="D385" s="16">
        <x:v>4</x:v>
      </x:c>
      <x:c r="E385" s="16">
        <x:v>0</x:v>
      </x:c>
      <x:c r="F385" s="16">
        <x:v>2</x:v>
      </x:c>
      <x:c r="G385" s="16">
        <x:v>0</x:v>
      </x:c>
      <x:c r="H385" s="16">
        <x:v>138</x:v>
      </x:c>
      <x:c r="I385" s="16">
        <x:v>4</x:v>
      </x:c>
      <x:c r="J385" s="15" t="inlineStr">
        <x:is>
          <x:t xml:space="preserve">20/62</x:t>
        </x:is>
      </x:c>
      <x:c r="K385" s="1"/>
      <x:c r="L385" s="1"/>
    </x:row>
    <x:row r="386" ht="22" customHeight="1">
      <x:c r="A386" s="92" t="n">
        <x:v>44854</x:v>
      </x:c>
      <x:c r="B386" s="21" t="n">
        <x:v>2022</x:v>
      </x:c>
      <x:c r="C386" s="14">
        <x:v>6508</x:v>
      </x:c>
      <x:c r="D386" s="14">
        <x:v>34</x:v>
      </x:c>
      <x:c r="E386" s="14">
        <x:v>3</x:v>
      </x:c>
      <x:c r="F386" s="14">
        <x:v>11</x:v>
      </x:c>
      <x:c r="G386" s="14">
        <x:v>5</x:v>
      </x:c>
      <x:c r="H386" s="14">
        <x:v>179</x:v>
      </x:c>
      <x:c r="I386" s="14">
        <x:v>16</x:v>
      </x:c>
      <x:c r="J386" s="13" t="inlineStr">
        <x:is>
          <x:t xml:space="preserve">20/63</x:t>
        </x:is>
      </x:c>
      <x:c r="K386" s="1"/>
      <x:c r="L386" s="1"/>
    </x:row>
    <x:row r="387" ht="22" customHeight="1">
      <x:c r="A387" s="93" t="n">
        <x:v>44855</x:v>
      </x:c>
      <x:c r="B387" s="24" t="n">
        <x:v>2022</x:v>
      </x:c>
      <x:c r="C387" s="16">
        <x:v>3352</x:v>
      </x:c>
      <x:c r="D387" s="16">
        <x:v>19</x:v>
      </x:c>
      <x:c r="E387" s="16">
        <x:v>4</x:v>
      </x:c>
      <x:c r="F387" s="16">
        <x:v>3</x:v>
      </x:c>
      <x:c r="G387" s="16">
        <x:v>1</x:v>
      </x:c>
      <x:c r="H387" s="16">
        <x:v>77</x:v>
      </x:c>
      <x:c r="I387" s="16">
        <x:v>12</x:v>
      </x:c>
      <x:c r="J387" s="15" t="inlineStr">
        <x:is>
          <x:t xml:space="preserve">20/64</x:t>
        </x:is>
      </x:c>
      <x:c r="K387" s="1"/>
      <x:c r="L387" s="1"/>
    </x:row>
    <x:row r="388" ht="22" customHeight="1">
      <x:c r="A388" s="92" t="n">
        <x:v>44874</x:v>
      </x:c>
      <x:c r="B388" s="21" t="n">
        <x:v>2022</x:v>
      </x:c>
      <x:c r="C388" s="14">
        <x:v>2750</x:v>
      </x:c>
      <x:c r="D388" s="14">
        <x:v>38</x:v>
      </x:c>
      <x:c r="E388" s="14">
        <x:v>11</x:v>
      </x:c>
      <x:c r="F388" s="14">
        <x:v>8</x:v>
      </x:c>
      <x:c r="G388" s="14">
        <x:v>1</x:v>
      </x:c>
      <x:c r="H388" s="14">
        <x:v>118</x:v>
      </x:c>
      <x:c r="I388" s="14">
        <x:v>16</x:v>
      </x:c>
      <x:c r="J388" s="13" t="inlineStr">
        <x:is>
          <x:t xml:space="preserve">20/65</x:t>
        </x:is>
      </x:c>
      <x:c r="K388" s="1"/>
      <x:c r="L388" s="1"/>
    </x:row>
    <x:row r="389" ht="22" customHeight="1">
      <x:c r="A389" s="93" t="n">
        <x:v>44875</x:v>
      </x:c>
      <x:c r="B389" s="24" t="n">
        <x:v>2022</x:v>
      </x:c>
      <x:c r="C389" s="16">
        <x:v>7718</x:v>
      </x:c>
      <x:c r="D389" s="16">
        <x:v>81</x:v>
      </x:c>
      <x:c r="E389" s="16">
        <x:v>15</x:v>
      </x:c>
      <x:c r="F389" s="16">
        <x:v>26</x:v>
      </x:c>
      <x:c r="G389" s="16">
        <x:v>4</x:v>
      </x:c>
      <x:c r="H389" s="16">
        <x:v>238</x:v>
      </x:c>
      <x:c r="I389" s="16">
        <x:v>19</x:v>
      </x:c>
      <x:c r="J389" s="15" t="inlineStr">
        <x:is>
          <x:t xml:space="preserve">20/66</x:t>
        </x:is>
      </x:c>
      <x:c r="K389" s="1"/>
      <x:c r="L389" s="1"/>
    </x:row>
    <x:row r="390" ht="22" customHeight="1">
      <x:c r="A390" s="92" t="n">
        <x:v>44876</x:v>
      </x:c>
      <x:c r="B390" s="21" t="n">
        <x:v>2022</x:v>
      </x:c>
      <x:c r="C390" s="14">
        <x:v>3177</x:v>
      </x:c>
      <x:c r="D390" s="14">
        <x:v>7</x:v>
      </x:c>
      <x:c r="E390" s="14">
        <x:v>1</x:v>
      </x:c>
      <x:c r="F390" s="14">
        <x:v>2</x:v>
      </x:c>
      <x:c r="G390" s="14">
        <x:v>2</x:v>
      </x:c>
      <x:c r="H390" s="14">
        <x:v>86</x:v>
      </x:c>
      <x:c r="I390" s="14">
        <x:v>5</x:v>
      </x:c>
      <x:c r="J390" s="13" t="inlineStr">
        <x:is>
          <x:t xml:space="preserve">20/67</x:t>
        </x:is>
      </x:c>
      <x:c r="K390" s="1"/>
      <x:c r="L390" s="1"/>
    </x:row>
    <x:row r="391" ht="22" customHeight="1">
      <x:c r="A391" s="93" t="n">
        <x:v>44886</x:v>
      </x:c>
      <x:c r="B391" s="24" t="n">
        <x:v>2022</x:v>
      </x:c>
      <x:c r="C391" s="16">
        <x:v>4113</x:v>
      </x:c>
      <x:c r="D391" s="16">
        <x:v>29</x:v>
      </x:c>
      <x:c r="E391" s="16">
        <x:v>14</x:v>
      </x:c>
      <x:c r="F391" s="16">
        <x:v>9</x:v>
      </x:c>
      <x:c r="G391" s="16">
        <x:v>2</x:v>
      </x:c>
      <x:c r="H391" s="16">
        <x:v>107</x:v>
      </x:c>
      <x:c r="I391" s="16">
        <x:v>11</x:v>
      </x:c>
      <x:c r="J391" s="15" t="inlineStr">
        <x:is>
          <x:t xml:space="preserve">20/68</x:t>
        </x:is>
      </x:c>
      <x:c r="K391" s="1"/>
      <x:c r="L391" s="1"/>
    </x:row>
    <x:row r="392" ht="22" customHeight="1">
      <x:c r="A392" s="92" t="n">
        <x:v>44888</x:v>
      </x:c>
      <x:c r="B392" s="21" t="n">
        <x:v>2022</x:v>
      </x:c>
      <x:c r="C392" s="14">
        <x:v>3991</x:v>
      </x:c>
      <x:c r="D392" s="14">
        <x:v>42</x:v>
      </x:c>
      <x:c r="E392" s="14">
        <x:v>9</x:v>
      </x:c>
      <x:c r="F392" s="14">
        <x:v>12</x:v>
      </x:c>
      <x:c r="G392" s="14">
        <x:v>18</x:v>
      </x:c>
      <x:c r="H392" s="14">
        <x:v>79</x:v>
      </x:c>
      <x:c r="I392" s="14">
        <x:v>19</x:v>
      </x:c>
      <x:c r="J392" s="13" t="inlineStr">
        <x:is>
          <x:t xml:space="preserve">20/69</x:t>
        </x:is>
      </x:c>
      <x:c r="K392" s="1"/>
      <x:c r="L392" s="1"/>
    </x:row>
    <x:row r="393" ht="22" customHeight="1">
      <x:c r="A393" s="93" t="n">
        <x:v>44889</x:v>
      </x:c>
      <x:c r="B393" s="24" t="n">
        <x:v>2022</x:v>
      </x:c>
      <x:c r="C393" s="16">
        <x:v>5733</x:v>
      </x:c>
      <x:c r="D393" s="16">
        <x:v>237</x:v>
      </x:c>
      <x:c r="E393" s="16">
        <x:v>57</x:v>
      </x:c>
      <x:c r="F393" s="16">
        <x:v>67</x:v>
      </x:c>
      <x:c r="G393" s="16">
        <x:v>8</x:v>
      </x:c>
      <x:c r="H393" s="16">
        <x:v>150</x:v>
      </x:c>
      <x:c r="I393" s="16">
        <x:v>26</x:v>
      </x:c>
      <x:c r="J393" s="15" t="inlineStr">
        <x:is>
          <x:t xml:space="preserve">20/70</x:t>
        </x:is>
      </x:c>
      <x:c r="K393" s="1"/>
      <x:c r="L393" s="1"/>
    </x:row>
    <x:row r="394" ht="22" customHeight="1">
      <x:c r="A394" s="92" t="n">
        <x:v>44890</x:v>
      </x:c>
      <x:c r="B394" s="21" t="n">
        <x:v>2022</x:v>
      </x:c>
      <x:c r="C394" s="14">
        <x:v>1843</x:v>
      </x:c>
      <x:c r="D394" s="14">
        <x:v>8</x:v>
      </x:c>
      <x:c r="E394" s="14">
        <x:v>0</x:v>
      </x:c>
      <x:c r="F394" s="14">
        <x:v>4</x:v>
      </x:c>
      <x:c r="G394" s="14">
        <x:v>1</x:v>
      </x:c>
      <x:c r="H394" s="14">
        <x:v>50</x:v>
      </x:c>
      <x:c r="I394" s="14">
        <x:v>7</x:v>
      </x:c>
      <x:c r="J394" s="13" t="inlineStr">
        <x:is>
          <x:t xml:space="preserve">20/71</x:t>
        </x:is>
      </x:c>
      <x:c r="K394" s="1"/>
      <x:c r="L394" s="1"/>
    </x:row>
    <x:row r="395" ht="22" customHeight="1">
      <x:c r="A395" s="93" t="n">
        <x:v>44895</x:v>
      </x:c>
      <x:c r="B395" s="24" t="n">
        <x:v>2022</x:v>
      </x:c>
      <x:c r="C395" s="16">
        <x:v>2568</x:v>
      </x:c>
      <x:c r="D395" s="16">
        <x:v>12</x:v>
      </x:c>
      <x:c r="E395" s="16">
        <x:v>1</x:v>
      </x:c>
      <x:c r="F395" s="16">
        <x:v>1</x:v>
      </x:c>
      <x:c r="G395" s="16">
        <x:v>2</x:v>
      </x:c>
      <x:c r="H395" s="16">
        <x:v>135</x:v>
      </x:c>
      <x:c r="I395" s="16">
        <x:v>7</x:v>
      </x:c>
      <x:c r="J395" s="15" t="inlineStr">
        <x:is>
          <x:t xml:space="preserve">20/72</x:t>
        </x:is>
      </x:c>
      <x:c r="K395" s="1"/>
      <x:c r="L395" s="1"/>
    </x:row>
    <x:row r="396" ht="22" customHeight="1">
      <x:c r="A396" s="92" t="n">
        <x:v>44896</x:v>
      </x:c>
      <x:c r="B396" s="21" t="n">
        <x:v>2022</x:v>
      </x:c>
      <x:c r="C396" s="14">
        <x:v>8007</x:v>
      </x:c>
      <x:c r="D396" s="14">
        <x:v>73</x:v>
      </x:c>
      <x:c r="E396" s="14">
        <x:v>22</x:v>
      </x:c>
      <x:c r="F396" s="14">
        <x:v>13</x:v>
      </x:c>
      <x:c r="G396" s="14">
        <x:v>0</x:v>
      </x:c>
      <x:c r="H396" s="14">
        <x:v>242</x:v>
      </x:c>
      <x:c r="I396" s="14">
        <x:v>23</x:v>
      </x:c>
      <x:c r="J396" s="13" t="inlineStr">
        <x:is>
          <x:t xml:space="preserve">20/73</x:t>
        </x:is>
      </x:c>
      <x:c r="K396" s="1"/>
      <x:c r="L396" s="1"/>
    </x:row>
    <x:row r="397" ht="22" customHeight="1">
      <x:c r="A397" s="93" t="n">
        <x:v>44897</x:v>
      </x:c>
      <x:c r="B397" s="24" t="n">
        <x:v>2022</x:v>
      </x:c>
      <x:c r="C397" s="16">
        <x:v>3805</x:v>
      </x:c>
      <x:c r="D397" s="16">
        <x:v>10</x:v>
      </x:c>
      <x:c r="E397" s="16">
        <x:v>2</x:v>
      </x:c>
      <x:c r="F397" s="16">
        <x:v>4</x:v>
      </x:c>
      <x:c r="G397" s="16">
        <x:v>1</x:v>
      </x:c>
      <x:c r="H397" s="16">
        <x:v>101</x:v>
      </x:c>
      <x:c r="I397" s="16">
        <x:v>6</x:v>
      </x:c>
      <x:c r="J397" s="15" t="inlineStr">
        <x:is>
          <x:t xml:space="preserve">20/74</x:t>
        </x:is>
      </x:c>
      <x:c r="K397" s="1"/>
      <x:c r="L397" s="1"/>
    </x:row>
    <x:row r="398" ht="22" customHeight="1">
      <x:c r="A398" s="92" t="n">
        <x:v>44909</x:v>
      </x:c>
      <x:c r="B398" s="21" t="n">
        <x:v>2022</x:v>
      </x:c>
      <x:c r="C398" s="14">
        <x:v>3371</x:v>
      </x:c>
      <x:c r="D398" s="14">
        <x:v>5</x:v>
      </x:c>
      <x:c r="E398" s="14">
        <x:v>2</x:v>
      </x:c>
      <x:c r="F398" s="14">
        <x:v>1</x:v>
      </x:c>
      <x:c r="G398" s="14">
        <x:v>0</x:v>
      </x:c>
      <x:c r="H398" s="14">
        <x:v>173</x:v>
      </x:c>
      <x:c r="I398" s="14">
        <x:v>5</x:v>
      </x:c>
      <x:c r="J398" s="13" t="inlineStr">
        <x:is>
          <x:t xml:space="preserve">20/75</x:t>
        </x:is>
      </x:c>
      <x:c r="K398" s="1"/>
      <x:c r="L398" s="1"/>
    </x:row>
    <x:row r="399" ht="22" customHeight="1">
      <x:c r="A399" s="93" t="n">
        <x:v>44910</x:v>
      </x:c>
      <x:c r="B399" s="24" t="n">
        <x:v>2022</x:v>
      </x:c>
      <x:c r="C399" s="16">
        <x:v>6451</x:v>
      </x:c>
      <x:c r="D399" s="16">
        <x:v>187</x:v>
      </x:c>
      <x:c r="E399" s="16">
        <x:v>84</x:v>
      </x:c>
      <x:c r="F399" s="16">
        <x:v>42</x:v>
      </x:c>
      <x:c r="G399" s="16">
        <x:v>1</x:v>
      </x:c>
      <x:c r="H399" s="16">
        <x:v>176</x:v>
      </x:c>
      <x:c r="I399" s="16">
        <x:v>15</x:v>
      </x:c>
      <x:c r="J399" s="15" t="inlineStr">
        <x:is>
          <x:t xml:space="preserve">20/76</x:t>
        </x:is>
      </x:c>
      <x:c r="K399" s="1"/>
      <x:c r="L399" s="1"/>
    </x:row>
    <x:row r="400" ht="22" customHeight="1">
      <x:c r="A400" s="92" t="n">
        <x:v>44911</x:v>
      </x:c>
      <x:c r="B400" s="21" t="n">
        <x:v>2022</x:v>
      </x:c>
      <x:c r="C400" s="14">
        <x:v>2742</x:v>
      </x:c>
      <x:c r="D400" s="14">
        <x:v>1</x:v>
      </x:c>
      <x:c r="E400" s="14">
        <x:v>0</x:v>
      </x:c>
      <x:c r="F400" s="14">
        <x:v>1</x:v>
      </x:c>
      <x:c r="G400" s="14">
        <x:v>1</x:v>
      </x:c>
      <x:c r="H400" s="14">
        <x:v>80</x:v>
      </x:c>
      <x:c r="I400" s="14">
        <x:v>1</x:v>
      </x:c>
      <x:c r="J400" s="13" t="inlineStr">
        <x:is>
          <x:t xml:space="preserve">20/77</x:t>
        </x:is>
      </x:c>
      <x:c r="K400" s="1"/>
      <x:c r="L400" s="1"/>
    </x:row>
    <x:row r="401" ht="22" customHeight="1">
      <x:c r="A401" s="93" t="n">
        <x:v>44944</x:v>
      </x:c>
      <x:c r="B401" s="24" t="n">
        <x:v>2023</x:v>
      </x:c>
      <x:c r="C401" s="16">
        <x:v>2771</x:v>
      </x:c>
      <x:c r="D401" s="16">
        <x:v>197</x:v>
      </x:c>
      <x:c r="E401" s="16">
        <x:v>59</x:v>
      </x:c>
      <x:c r="F401" s="16">
        <x:v>21</x:v>
      </x:c>
      <x:c r="G401" s="16">
        <x:v>43</x:v>
      </x:c>
      <x:c r="H401" s="16">
        <x:v>154</x:v>
      </x:c>
      <x:c r="I401" s="16">
        <x:v>41</x:v>
      </x:c>
      <x:c r="J401" s="15" t="inlineStr">
        <x:is>
          <x:t xml:space="preserve">20/78</x:t>
        </x:is>
      </x:c>
      <x:c r="K401" s="1"/>
      <x:c r="L401" s="1"/>
    </x:row>
    <x:row r="402" ht="22" customHeight="1">
      <x:c r="A402" s="92" t="n">
        <x:v>44945</x:v>
      </x:c>
      <x:c r="B402" s="21" t="n">
        <x:v>2023</x:v>
      </x:c>
      <x:c r="C402" s="14">
        <x:v>5301</x:v>
      </x:c>
      <x:c r="D402" s="14">
        <x:v>10</x:v>
      </x:c>
      <x:c r="E402" s="14">
        <x:v>6</x:v>
      </x:c>
      <x:c r="F402" s="14">
        <x:v>3</x:v>
      </x:c>
      <x:c r="G402" s="14">
        <x:v>2</x:v>
      </x:c>
      <x:c r="H402" s="14">
        <x:v>149</x:v>
      </x:c>
      <x:c r="I402" s="14">
        <x:v>5</x:v>
      </x:c>
      <x:c r="J402" s="13" t="inlineStr">
        <x:is>
          <x:t xml:space="preserve">20/79</x:t>
        </x:is>
      </x:c>
      <x:c r="K402" s="1"/>
      <x:c r="L402" s="1"/>
    </x:row>
    <x:row r="403" ht="22" customHeight="1">
      <x:c r="A403" s="93" t="n">
        <x:v>44946</x:v>
      </x:c>
      <x:c r="B403" s="24" t="n">
        <x:v>2023</x:v>
      </x:c>
      <x:c r="C403" s="16">
        <x:v>3236</x:v>
      </x:c>
      <x:c r="D403" s="16">
        <x:v>1</x:v>
      </x:c>
      <x:c r="E403" s="16">
        <x:v>1</x:v>
      </x:c>
      <x:c r="F403" s="16">
        <x:v>0</x:v>
      </x:c>
      <x:c r="G403" s="16">
        <x:v>0</x:v>
      </x:c>
      <x:c r="H403" s="16">
        <x:v>83</x:v>
      </x:c>
      <x:c r="I403" s="16">
        <x:v>1</x:v>
      </x:c>
      <x:c r="J403" s="15" t="inlineStr">
        <x:is>
          <x:t xml:space="preserve">20/80</x:t>
        </x:is>
      </x:c>
      <x:c r="K403" s="1"/>
      <x:c r="L403" s="1"/>
    </x:row>
    <x:row r="404" ht="22" customHeight="1">
      <x:c r="A404" s="92" t="n">
        <x:v>44951</x:v>
      </x:c>
      <x:c r="B404" s="21" t="n">
        <x:v>2023</x:v>
      </x:c>
      <x:c r="C404" s="14">
        <x:v>2079</x:v>
      </x:c>
      <x:c r="D404" s="14">
        <x:v>143</x:v>
      </x:c>
      <x:c r="E404" s="14">
        <x:v>28</x:v>
      </x:c>
      <x:c r="F404" s="14">
        <x:v>32</x:v>
      </x:c>
      <x:c r="G404" s="14">
        <x:v>5</x:v>
      </x:c>
      <x:c r="H404" s="14">
        <x:v>107</x:v>
      </x:c>
      <x:c r="I404" s="14">
        <x:v>11</x:v>
      </x:c>
      <x:c r="J404" s="13" t="inlineStr">
        <x:is>
          <x:t xml:space="preserve">20/81</x:t>
        </x:is>
      </x:c>
      <x:c r="K404" s="1"/>
      <x:c r="L404" s="1"/>
    </x:row>
    <x:row r="405" ht="22" customHeight="1">
      <x:c r="A405" s="93" t="n">
        <x:v>44952</x:v>
      </x:c>
      <x:c r="B405" s="24" t="n">
        <x:v>2023</x:v>
      </x:c>
      <x:c r="C405" s="16">
        <x:v>5430</x:v>
      </x:c>
      <x:c r="D405" s="16">
        <x:v>91</x:v>
      </x:c>
      <x:c r="E405" s="16">
        <x:v>25</x:v>
      </x:c>
      <x:c r="F405" s="16">
        <x:v>19</x:v>
      </x:c>
      <x:c r="G405" s="16">
        <x:v>1</x:v>
      </x:c>
      <x:c r="H405" s="16">
        <x:v>149</x:v>
      </x:c>
      <x:c r="I405" s="16">
        <x:v>33</x:v>
      </x:c>
      <x:c r="J405" s="15" t="inlineStr">
        <x:is>
          <x:t xml:space="preserve">20/82</x:t>
        </x:is>
      </x:c>
      <x:c r="K405" s="1"/>
      <x:c r="L405" s="1"/>
    </x:row>
    <x:row r="406" ht="22" customHeight="1">
      <x:c r="A406" s="92" t="n">
        <x:v>44953</x:v>
      </x:c>
      <x:c r="B406" s="21" t="n">
        <x:v>2023</x:v>
      </x:c>
      <x:c r="C406" s="14">
        <x:v>2069</x:v>
      </x:c>
      <x:c r="D406" s="14">
        <x:v>1</x:v>
      </x:c>
      <x:c r="E406" s="14">
        <x:v>0</x:v>
      </x:c>
      <x:c r="F406" s="14">
        <x:v>0</x:v>
      </x:c>
      <x:c r="G406" s="14">
        <x:v>0</x:v>
      </x:c>
      <x:c r="H406" s="14">
        <x:v>49</x:v>
      </x:c>
      <x:c r="I406" s="14">
        <x:v>1</x:v>
      </x:c>
      <x:c r="J406" s="13" t="inlineStr">
        <x:is>
          <x:t xml:space="preserve">20/83</x:t>
        </x:is>
      </x:c>
      <x:c r="K406" s="1"/>
      <x:c r="L406" s="1"/>
    </x:row>
    <x:row r="407" ht="22" customHeight="1">
      <x:c r="A407" s="93" t="n">
        <x:v>44965</x:v>
      </x:c>
      <x:c r="B407" s="24" t="n">
        <x:v>2023</x:v>
      </x:c>
      <x:c r="C407" s="16">
        <x:v>2988</x:v>
      </x:c>
      <x:c r="D407" s="16">
        <x:v>7</x:v>
      </x:c>
      <x:c r="E407" s="16">
        <x:v>0</x:v>
      </x:c>
      <x:c r="F407" s="16">
        <x:v>2</x:v>
      </x:c>
      <x:c r="G407" s="16">
        <x:v>0</x:v>
      </x:c>
      <x:c r="H407" s="16">
        <x:v>160</x:v>
      </x:c>
      <x:c r="I407" s="16">
        <x:v>6</x:v>
      </x:c>
      <x:c r="J407" s="15" t="inlineStr">
        <x:is>
          <x:t xml:space="preserve">20/84</x:t>
        </x:is>
      </x:c>
      <x:c r="K407" s="1"/>
      <x:c r="L407" s="1"/>
    </x:row>
    <x:row r="408" ht="22" customHeight="1">
      <x:c r="A408" s="92" t="n">
        <x:v>44966</x:v>
      </x:c>
      <x:c r="B408" s="21" t="n">
        <x:v>2023</x:v>
      </x:c>
      <x:c r="C408" s="14">
        <x:v>6146</x:v>
      </x:c>
      <x:c r="D408" s="14">
        <x:v>13</x:v>
      </x:c>
      <x:c r="E408" s="14">
        <x:v>3</x:v>
      </x:c>
      <x:c r="F408" s="14">
        <x:v>3</x:v>
      </x:c>
      <x:c r="G408" s="14">
        <x:v>1</x:v>
      </x:c>
      <x:c r="H408" s="14">
        <x:v>173</x:v>
      </x:c>
      <x:c r="I408" s="14">
        <x:v>9</x:v>
      </x:c>
      <x:c r="J408" s="13" t="inlineStr">
        <x:is>
          <x:t xml:space="preserve">20/85</x:t>
        </x:is>
      </x:c>
      <x:c r="K408" s="1"/>
      <x:c r="L408" s="1"/>
    </x:row>
    <x:row r="409" ht="22" customHeight="1">
      <x:c r="A409" s="93" t="n">
        <x:v>44967</x:v>
      </x:c>
      <x:c r="B409" s="24" t="n">
        <x:v>2023</x:v>
      </x:c>
      <x:c r="C409" s="16">
        <x:v>3164</x:v>
      </x:c>
      <x:c r="D409" s="16">
        <x:v>6</x:v>
      </x:c>
      <x:c r="E409" s="16">
        <x:v>1</x:v>
      </x:c>
      <x:c r="F409" s="16">
        <x:v>4</x:v>
      </x:c>
      <x:c r="G409" s="16">
        <x:v>0</x:v>
      </x:c>
      <x:c r="H409" s="16">
        <x:v>84</x:v>
      </x:c>
      <x:c r="I409" s="16">
        <x:v>4</x:v>
      </x:c>
      <x:c r="J409" s="15" t="inlineStr">
        <x:is>
          <x:t xml:space="preserve">20/86</x:t>
        </x:is>
      </x:c>
      <x:c r="K409" s="1"/>
      <x:c r="L409" s="1"/>
    </x:row>
    <x:row r="410" ht="22" customHeight="1">
      <x:c r="A410" s="92" t="n">
        <x:v>44986</x:v>
      </x:c>
      <x:c r="B410" s="21" t="n">
        <x:v>2023</x:v>
      </x:c>
      <x:c r="C410" s="14">
        <x:v>2377</x:v>
      </x:c>
      <x:c r="D410" s="14">
        <x:v>3</x:v>
      </x:c>
      <x:c r="E410" s="14">
        <x:v>1</x:v>
      </x:c>
      <x:c r="F410" s="14">
        <x:v>2</x:v>
      </x:c>
      <x:c r="G410" s="14">
        <x:v>0</x:v>
      </x:c>
      <x:c r="H410" s="14">
        <x:v>154</x:v>
      </x:c>
      <x:c r="I410" s="14">
        <x:v>3</x:v>
      </x:c>
      <x:c r="J410" s="13" t="inlineStr">
        <x:is>
          <x:t xml:space="preserve">20/87</x:t>
        </x:is>
      </x:c>
      <x:c r="K410" s="1"/>
      <x:c r="L410" s="1"/>
    </x:row>
    <x:row r="411" ht="22" customHeight="1">
      <x:c r="A411" s="93" t="n">
        <x:v>44987</x:v>
      </x:c>
      <x:c r="B411" s="24" t="n">
        <x:v>2023</x:v>
      </x:c>
      <x:c r="C411" s="16">
        <x:v>6131</x:v>
      </x:c>
      <x:c r="D411" s="16">
        <x:v>5</x:v>
      </x:c>
      <x:c r="E411" s="16">
        <x:v>0</x:v>
      </x:c>
      <x:c r="F411" s="16">
        <x:v>4</x:v>
      </x:c>
      <x:c r="G411" s="16">
        <x:v>0</x:v>
      </x:c>
      <x:c r="H411" s="16">
        <x:v>161</x:v>
      </x:c>
      <x:c r="I411" s="16">
        <x:v>5</x:v>
      </x:c>
      <x:c r="J411" s="15" t="inlineStr">
        <x:is>
          <x:t xml:space="preserve">20/88</x:t>
        </x:is>
      </x:c>
      <x:c r="K411" s="1"/>
      <x:c r="L411" s="1"/>
    </x:row>
    <x:row r="412" ht="22" customHeight="1">
      <x:c r="A412" s="92" t="n">
        <x:v>44988</x:v>
      </x:c>
      <x:c r="B412" s="21" t="n">
        <x:v>2023</x:v>
      </x:c>
      <x:c r="C412" s="14">
        <x:v>3231</x:v>
      </x:c>
      <x:c r="D412" s="14">
        <x:v>6</x:v>
      </x:c>
      <x:c r="E412" s="14">
        <x:v>1</x:v>
      </x:c>
      <x:c r="F412" s="14">
        <x:v>3</x:v>
      </x:c>
      <x:c r="G412" s="14">
        <x:v>1</x:v>
      </x:c>
      <x:c r="H412" s="14">
        <x:v>89</x:v>
      </x:c>
      <x:c r="I412" s="14">
        <x:v>5</x:v>
      </x:c>
      <x:c r="J412" s="13" t="inlineStr">
        <x:is>
          <x:t xml:space="preserve">20/89</x:t>
        </x:is>
      </x:c>
      <x:c r="K412" s="1"/>
      <x:c r="L412" s="1"/>
    </x:row>
    <x:row r="413" ht="22" customHeight="1">
      <x:c r="A413" s="93" t="n">
        <x:v>45000</x:v>
      </x:c>
      <x:c r="B413" s="24" t="n">
        <x:v>2023</x:v>
      </x:c>
      <x:c r="C413" s="16">
        <x:v>2685</x:v>
      </x:c>
      <x:c r="D413" s="16">
        <x:v>11</x:v>
      </x:c>
      <x:c r="E413" s="16">
        <x:v>0</x:v>
      </x:c>
      <x:c r="F413" s="16">
        <x:v>3</x:v>
      </x:c>
      <x:c r="G413" s="16">
        <x:v>0</x:v>
      </x:c>
      <x:c r="H413" s="16">
        <x:v>175</x:v>
      </x:c>
      <x:c r="I413" s="16">
        <x:v>5</x:v>
      </x:c>
      <x:c r="J413" s="15" t="inlineStr">
        <x:is>
          <x:t xml:space="preserve">20/90</x:t>
        </x:is>
      </x:c>
      <x:c r="K413" s="1"/>
      <x:c r="L413" s="1"/>
    </x:row>
    <x:row r="414" ht="22" customHeight="1">
      <x:c r="A414" s="92" t="n">
        <x:v>45001</x:v>
      </x:c>
      <x:c r="B414" s="21" t="n">
        <x:v>2023</x:v>
      </x:c>
      <x:c r="C414" s="14">
        <x:v>6508</x:v>
      </x:c>
      <x:c r="D414" s="14">
        <x:v>162</x:v>
      </x:c>
      <x:c r="E414" s="14">
        <x:v>25</x:v>
      </x:c>
      <x:c r="F414" s="14">
        <x:v>29</x:v>
      </x:c>
      <x:c r="G414" s="14">
        <x:v>8</x:v>
      </x:c>
      <x:c r="H414" s="14">
        <x:v>176</x:v>
      </x:c>
      <x:c r="I414" s="14">
        <x:v>28</x:v>
      </x:c>
      <x:c r="J414" s="13" t="inlineStr">
        <x:is>
          <x:t xml:space="preserve">20/91</x:t>
        </x:is>
      </x:c>
      <x:c r="K414" s="1"/>
      <x:c r="L414" s="1"/>
    </x:row>
    <x:row r="415" ht="22" customHeight="1">
      <x:c r="A415" s="93" t="n">
        <x:v>45002</x:v>
      </x:c>
      <x:c r="B415" s="24" t="n">
        <x:v>2023</x:v>
      </x:c>
      <x:c r="C415" s="16">
        <x:v>3528</x:v>
      </x:c>
      <x:c r="D415" s="16">
        <x:v>3</x:v>
      </x:c>
      <x:c r="E415" s="16">
        <x:v>1</x:v>
      </x:c>
      <x:c r="F415" s="16">
        <x:v>1</x:v>
      </x:c>
      <x:c r="G415" s="16">
        <x:v>0</x:v>
      </x:c>
      <x:c r="H415" s="16">
        <x:v>97</x:v>
      </x:c>
      <x:c r="I415" s="16">
        <x:v>2</x:v>
      </x:c>
      <x:c r="J415" s="15" t="inlineStr">
        <x:is>
          <x:t xml:space="preserve">20/92 (neu)</x:t>
        </x:is>
      </x:c>
      <x:c r="K415" s="1"/>
      <x:c r="L415" s="1"/>
    </x:row>
    <x:row r="416" ht="22" customHeight="1">
      <x:c r="A416" s="92" t="n">
        <x:v>45014</x:v>
      </x:c>
      <x:c r="B416" s="21" t="n">
        <x:v>2023</x:v>
      </x:c>
      <x:c r="C416" s="14">
        <x:v>2092</x:v>
      </x:c>
      <x:c r="D416" s="14">
        <x:v>4</x:v>
      </x:c>
      <x:c r="E416" s="14">
        <x:v>0</x:v>
      </x:c>
      <x:c r="F416" s="14">
        <x:v>1</x:v>
      </x:c>
      <x:c r="G416" s="14">
        <x:v>0</x:v>
      </x:c>
      <x:c r="H416" s="14">
        <x:v>110</x:v>
      </x:c>
      <x:c r="I416" s="14">
        <x:v>4</x:v>
      </x:c>
      <x:c r="J416" s="13" t="inlineStr">
        <x:is>
          <x:t xml:space="preserve">20/93</x:t>
        </x:is>
      </x:c>
      <x:c r="K416" s="1"/>
      <x:c r="L416" s="1"/>
    </x:row>
    <x:row r="417" ht="22" customHeight="1">
      <x:c r="A417" s="93" t="n">
        <x:v>45015</x:v>
      </x:c>
      <x:c r="B417" s="24" t="n">
        <x:v>2023</x:v>
      </x:c>
      <x:c r="C417" s="16">
        <x:v>5529</x:v>
      </x:c>
      <x:c r="D417" s="16">
        <x:v>138</x:v>
      </x:c>
      <x:c r="E417" s="16">
        <x:v>45</x:v>
      </x:c>
      <x:c r="F417" s="16">
        <x:v>26</x:v>
      </x:c>
      <x:c r="G417" s="16">
        <x:v>12</x:v>
      </x:c>
      <x:c r="H417" s="16">
        <x:v>142</x:v>
      </x:c>
      <x:c r="I417" s="16">
        <x:v>23</x:v>
      </x:c>
      <x:c r="J417" s="15" t="inlineStr">
        <x:is>
          <x:t xml:space="preserve">20/94</x:t>
        </x:is>
      </x:c>
      <x:c r="K417" s="1"/>
      <x:c r="L417" s="1"/>
    </x:row>
    <x:row r="418" ht="22" customHeight="1">
      <x:c r="A418" s="92" t="n">
        <x:v>45016</x:v>
      </x:c>
      <x:c r="B418" s="21" t="n">
        <x:v>2023</x:v>
      </x:c>
      <x:c r="C418" s="14">
        <x:v>3225</x:v>
      </x:c>
      <x:c r="D418" s="14">
        <x:v>137</x:v>
      </x:c>
      <x:c r="E418" s="14">
        <x:v>10</x:v>
      </x:c>
      <x:c r="F418" s="14">
        <x:v>87</x:v>
      </x:c>
      <x:c r="G418" s="14">
        <x:v>12</x:v>
      </x:c>
      <x:c r="H418" s="14">
        <x:v>88</x:v>
      </x:c>
      <x:c r="I418" s="14">
        <x:v>21</x:v>
      </x:c>
      <x:c r="J418" s="13" t="inlineStr">
        <x:is>
          <x:t xml:space="preserve">20/95</x:t>
        </x:is>
      </x:c>
      <x:c r="K418" s="1"/>
      <x:c r="L418" s="1"/>
    </x:row>
    <x:row r="419" ht="22" customHeight="1">
      <x:c r="A419" s="93" t="n">
        <x:v>45035</x:v>
      </x:c>
      <x:c r="B419" s="24" t="n">
        <x:v>2023</x:v>
      </x:c>
      <x:c r="C419" s="16">
        <x:v>2742</x:v>
      </x:c>
      <x:c r="D419" s="16">
        <x:v>115</x:v>
      </x:c>
      <x:c r="E419" s="16">
        <x:v>39</x:v>
      </x:c>
      <x:c r="F419" s="16">
        <x:v>18</x:v>
      </x:c>
      <x:c r="G419" s="16">
        <x:v>4</x:v>
      </x:c>
      <x:c r="H419" s="16">
        <x:v>144</x:v>
      </x:c>
      <x:c r="I419" s="16">
        <x:v>17</x:v>
      </x:c>
      <x:c r="J419" s="15" t="inlineStr">
        <x:is>
          <x:t xml:space="preserve">20/96</x:t>
        </x:is>
      </x:c>
      <x:c r="K419" s="1"/>
      <x:c r="L419" s="1"/>
    </x:row>
    <x:row r="420" ht="22" customHeight="1">
      <x:c r="A420" s="92" t="n">
        <x:v>45036</x:v>
      </x:c>
      <x:c r="B420" s="21" t="n">
        <x:v>2023</x:v>
      </x:c>
      <x:c r="C420" s="14">
        <x:v>6294</x:v>
      </x:c>
      <x:c r="D420" s="14">
        <x:v>202</x:v>
      </x:c>
      <x:c r="E420" s="14">
        <x:v>108</x:v>
      </x:c>
      <x:c r="F420" s="14">
        <x:v>47</x:v>
      </x:c>
      <x:c r="G420" s="14">
        <x:v>2</x:v>
      </x:c>
      <x:c r="H420" s="14">
        <x:v>176</x:v>
      </x:c>
      <x:c r="I420" s="14">
        <x:v>27</x:v>
      </x:c>
      <x:c r="J420" s="13" t="inlineStr">
        <x:is>
          <x:t xml:space="preserve">20/97</x:t>
        </x:is>
      </x:c>
      <x:c r="K420" s="1"/>
      <x:c r="L420" s="1"/>
    </x:row>
    <x:row r="421" ht="22" customHeight="1">
      <x:c r="A421" s="93" t="n">
        <x:v>45037</x:v>
      </x:c>
      <x:c r="B421" s="24" t="n">
        <x:v>2023</x:v>
      </x:c>
      <x:c r="C421" s="16">
        <x:v>2751</x:v>
      </x:c>
      <x:c r="D421" s="16">
        <x:v>4</x:v>
      </x:c>
      <x:c r="E421" s="16">
        <x:v>0</x:v>
      </x:c>
      <x:c r="F421" s="16">
        <x:v>1</x:v>
      </x:c>
      <x:c r="G421" s="16">
        <x:v>0</x:v>
      </x:c>
      <x:c r="H421" s="16">
        <x:v>71</x:v>
      </x:c>
      <x:c r="I421" s="16">
        <x:v>3</x:v>
      </x:c>
      <x:c r="J421" s="15" t="inlineStr">
        <x:is>
          <x:t xml:space="preserve">20/98</x:t>
        </x:is>
      </x:c>
      <x:c r="K421" s="1"/>
      <x:c r="L421" s="1"/>
    </x:row>
    <x:row r="422" ht="22" customHeight="1">
      <x:c r="A422" s="92" t="n">
        <x:v>45042</x:v>
      </x:c>
      <x:c r="B422" s="21" t="n">
        <x:v>2023</x:v>
      </x:c>
      <x:c r="C422" s="14">
        <x:v>2983</x:v>
      </x:c>
      <x:c r="D422" s="14">
        <x:v>125</x:v>
      </x:c>
      <x:c r="E422" s="14">
        <x:v>12</x:v>
      </x:c>
      <x:c r="F422" s="14">
        <x:v>19</x:v>
      </x:c>
      <x:c r="G422" s="14">
        <x:v>0</x:v>
      </x:c>
      <x:c r="H422" s="14">
        <x:v>154</x:v>
      </x:c>
      <x:c r="I422" s="14">
        <x:v>41</x:v>
      </x:c>
      <x:c r="J422" s="13" t="inlineStr">
        <x:is>
          <x:t xml:space="preserve">20/99</x:t>
        </x:is>
      </x:c>
      <x:c r="K422" s="1"/>
      <x:c r="L422" s="1"/>
    </x:row>
    <x:row r="423" ht="22" customHeight="1">
      <x:c r="A423" s="93" t="n">
        <x:v>45043</x:v>
      </x:c>
      <x:c r="B423" s="24" t="n">
        <x:v>2023</x:v>
      </x:c>
      <x:c r="C423" s="16">
        <x:v>5832</x:v>
      </x:c>
      <x:c r="D423" s="16">
        <x:v>80</x:v>
      </x:c>
      <x:c r="E423" s="16">
        <x:v>17</x:v>
      </x:c>
      <x:c r="F423" s="16">
        <x:v>25</x:v>
      </x:c>
      <x:c r="G423" s="16">
        <x:v>5</x:v>
      </x:c>
      <x:c r="H423" s="16">
        <x:v>161</x:v>
      </x:c>
      <x:c r="I423" s="16">
        <x:v>21</x:v>
      </x:c>
      <x:c r="J423" s="15" t="inlineStr">
        <x:is>
          <x:t xml:space="preserve">20/100</x:t>
        </x:is>
      </x:c>
      <x:c r="K423" s="1"/>
      <x:c r="L423" s="1"/>
    </x:row>
    <x:row r="424" ht="22" customHeight="1">
      <x:c r="A424" s="92" t="n">
        <x:v>45044</x:v>
      </x:c>
      <x:c r="B424" s="21" t="n">
        <x:v>2023</x:v>
      </x:c>
      <x:c r="C424" s="14">
        <x:v>2775</x:v>
      </x:c>
      <x:c r="D424" s="14">
        <x:v>23</x:v>
      </x:c>
      <x:c r="E424" s="14">
        <x:v>4</x:v>
      </x:c>
      <x:c r="F424" s="14">
        <x:v>4</x:v>
      </x:c>
      <x:c r="G424" s="14">
        <x:v>1</x:v>
      </x:c>
      <x:c r="H424" s="14">
        <x:v>70</x:v>
      </x:c>
      <x:c r="I424" s="14">
        <x:v>10</x:v>
      </x:c>
      <x:c r="J424" s="13" t="inlineStr">
        <x:is>
          <x:t xml:space="preserve">20/101</x:t>
        </x:is>
      </x:c>
      <x:c r="K424" s="1"/>
      <x:c r="L424" s="1"/>
    </x:row>
    <x:row r="425" ht="22" customHeight="1">
      <x:c r="A425" s="93" t="n">
        <x:v>45056</x:v>
      </x:c>
      <x:c r="B425" s="24" t="n">
        <x:v>2023</x:v>
      </x:c>
      <x:c r="C425" s="16">
        <x:v>2715</x:v>
      </x:c>
      <x:c r="D425" s="16">
        <x:v>43</x:v>
      </x:c>
      <x:c r="E425" s="16">
        <x:v>6</x:v>
      </x:c>
      <x:c r="F425" s="16">
        <x:v>13</x:v>
      </x:c>
      <x:c r="G425" s="16">
        <x:v>1</x:v>
      </x:c>
      <x:c r="H425" s="16">
        <x:v>158</x:v>
      </x:c>
      <x:c r="I425" s="16">
        <x:v>11</x:v>
      </x:c>
      <x:c r="J425" s="15" t="inlineStr">
        <x:is>
          <x:t xml:space="preserve">20/102</x:t>
        </x:is>
      </x:c>
      <x:c r="K425" s="1"/>
      <x:c r="L425" s="1"/>
    </x:row>
    <x:row r="426" ht="22" customHeight="1">
      <x:c r="A426" s="92" t="n">
        <x:v>45057</x:v>
      </x:c>
      <x:c r="B426" s="21" t="n">
        <x:v>2023</x:v>
      </x:c>
      <x:c r="C426" s="14">
        <x:v>6214</x:v>
      </x:c>
      <x:c r="D426" s="14">
        <x:v>91</x:v>
      </x:c>
      <x:c r="E426" s="14">
        <x:v>19</x:v>
      </x:c>
      <x:c r="F426" s="14">
        <x:v>20</x:v>
      </x:c>
      <x:c r="G426" s="14">
        <x:v>0</x:v>
      </x:c>
      <x:c r="H426" s="14">
        <x:v>178</x:v>
      </x:c>
      <x:c r="I426" s="14">
        <x:v>14</x:v>
      </x:c>
      <x:c r="J426" s="13" t="inlineStr">
        <x:is>
          <x:t xml:space="preserve">20/103</x:t>
        </x:is>
      </x:c>
      <x:c r="K426" s="1"/>
      <x:c r="L426" s="1"/>
    </x:row>
    <x:row r="427" ht="22" customHeight="1">
      <x:c r="A427" s="93" t="n">
        <x:v>45058</x:v>
      </x:c>
      <x:c r="B427" s="24" t="n">
        <x:v>2023</x:v>
      </x:c>
      <x:c r="C427" s="16">
        <x:v>3425</x:v>
      </x:c>
      <x:c r="D427" s="16">
        <x:v>6</x:v>
      </x:c>
      <x:c r="E427" s="16">
        <x:v>2</x:v>
      </x:c>
      <x:c r="F427" s="16">
        <x:v>1</x:v>
      </x:c>
      <x:c r="G427" s="16">
        <x:v>0</x:v>
      </x:c>
      <x:c r="H427" s="16">
        <x:v>90</x:v>
      </x:c>
      <x:c r="I427" s="16">
        <x:v>5</x:v>
      </x:c>
      <x:c r="J427" s="15" t="inlineStr">
        <x:is>
          <x:t xml:space="preserve">20/104</x:t>
        </x:is>
      </x:c>
      <x:c r="K427" s="1"/>
      <x:c r="L427" s="1"/>
    </x:row>
    <x:row r="428" ht="22" customHeight="1">
      <x:c r="A428" s="92" t="n">
        <x:v>45070</x:v>
      </x:c>
      <x:c r="B428" s="21" t="n">
        <x:v>2023</x:v>
      </x:c>
      <x:c r="C428" s="14">
        <x:v>3069</x:v>
      </x:c>
      <x:c r="D428" s="14">
        <x:v>2</x:v>
      </x:c>
      <x:c r="E428" s="14">
        <x:v>0</x:v>
      </x:c>
      <x:c r="F428" s="14">
        <x:v>2</x:v>
      </x:c>
      <x:c r="G428" s="14">
        <x:v>0</x:v>
      </x:c>
      <x:c r="H428" s="14">
        <x:v>181</x:v>
      </x:c>
      <x:c r="I428" s="14">
        <x:v>2</x:v>
      </x:c>
      <x:c r="J428" s="13" t="inlineStr">
        <x:is>
          <x:t xml:space="preserve">20/105</x:t>
        </x:is>
      </x:c>
      <x:c r="K428" s="1"/>
      <x:c r="L428" s="1"/>
    </x:row>
    <x:row r="429" ht="22" customHeight="1">
      <x:c r="A429" s="93" t="n">
        <x:v>45071</x:v>
      </x:c>
      <x:c r="B429" s="24" t="n">
        <x:v>2023</x:v>
      </x:c>
      <x:c r="C429" s="16">
        <x:v>5881</x:v>
      </x:c>
      <x:c r="D429" s="16">
        <x:v>98</x:v>
      </x:c>
      <x:c r="E429" s="16">
        <x:v>25</x:v>
      </x:c>
      <x:c r="F429" s="16">
        <x:v>12</x:v>
      </x:c>
      <x:c r="G429" s="16">
        <x:v>1</x:v>
      </x:c>
      <x:c r="H429" s="16">
        <x:v>157</x:v>
      </x:c>
      <x:c r="I429" s="16">
        <x:v>9</x:v>
      </x:c>
      <x:c r="J429" s="15" t="inlineStr">
        <x:is>
          <x:t xml:space="preserve">20/106</x:t>
        </x:is>
      </x:c>
      <x:c r="K429" s="1"/>
      <x:c r="L429" s="1"/>
    </x:row>
    <x:row r="430" ht="22" customHeight="1">
      <x:c r="A430" s="92" t="n">
        <x:v>45072</x:v>
      </x:c>
      <x:c r="B430" s="21" t="n">
        <x:v>2023</x:v>
      </x:c>
      <x:c r="C430" s="14">
        <x:v>3138</x:v>
      </x:c>
      <x:c r="D430" s="14">
        <x:v>3</x:v>
      </x:c>
      <x:c r="E430" s="14">
        <x:v>1</x:v>
      </x:c>
      <x:c r="F430" s="14">
        <x:v>0</x:v>
      </x:c>
      <x:c r="G430" s="14">
        <x:v>0</x:v>
      </x:c>
      <x:c r="H430" s="14">
        <x:v>92</x:v>
      </x:c>
      <x:c r="I430" s="14">
        <x:v>3</x:v>
      </x:c>
      <x:c r="J430" s="13" t="inlineStr">
        <x:is>
          <x:t xml:space="preserve">20/107</x:t>
        </x:is>
      </x:c>
      <x:c r="K430" s="1"/>
      <x:c r="L430" s="1"/>
    </x:row>
    <x:row r="431" ht="22" customHeight="1">
      <x:c r="A431" s="93" t="n">
        <x:v>45091</x:v>
      </x:c>
      <x:c r="B431" s="24" t="n">
        <x:v>2023</x:v>
      </x:c>
      <x:c r="C431" s="16">
        <x:v>2668</x:v>
      </x:c>
      <x:c r="D431" s="16">
        <x:v>85</x:v>
      </x:c>
      <x:c r="E431" s="16">
        <x:v>20</x:v>
      </x:c>
      <x:c r="F431" s="16">
        <x:v>8</x:v>
      </x:c>
      <x:c r="G431" s="16">
        <x:v>7</x:v>
      </x:c>
      <x:c r="H431" s="16">
        <x:v>170</x:v>
      </x:c>
      <x:c r="I431" s="16">
        <x:v>42</x:v>
      </x:c>
      <x:c r="J431" s="15" t="inlineStr">
        <x:is>
          <x:t xml:space="preserve">20/108</x:t>
        </x:is>
      </x:c>
      <x:c r="K431" s="1"/>
      <x:c r="L431" s="1"/>
    </x:row>
    <x:row r="432" ht="22" customHeight="1">
      <x:c r="A432" s="92" t="n">
        <x:v>45092</x:v>
      </x:c>
      <x:c r="B432" s="21" t="n">
        <x:v>2023</x:v>
      </x:c>
      <x:c r="C432" s="14">
        <x:v>6899</x:v>
      </x:c>
      <x:c r="D432" s="14">
        <x:v>66</x:v>
      </x:c>
      <x:c r="E432" s="14">
        <x:v>30</x:v>
      </x:c>
      <x:c r="F432" s="14">
        <x:v>17</x:v>
      </x:c>
      <x:c r="G432" s="14">
        <x:v>3</x:v>
      </x:c>
      <x:c r="H432" s="14">
        <x:v>217</x:v>
      </x:c>
      <x:c r="I432" s="14">
        <x:v>31</x:v>
      </x:c>
      <x:c r="J432" s="13" t="inlineStr">
        <x:is>
          <x:t xml:space="preserve">20/109</x:t>
        </x:is>
      </x:c>
      <x:c r="K432" s="1"/>
      <x:c r="L432" s="1"/>
    </x:row>
    <x:row r="433" ht="22" customHeight="1">
      <x:c r="A433" s="93" t="n">
        <x:v>45093</x:v>
      </x:c>
      <x:c r="B433" s="24" t="n">
        <x:v>2023</x:v>
      </x:c>
      <x:c r="C433" s="16">
        <x:v>2732</x:v>
      </x:c>
      <x:c r="D433" s="16">
        <x:v>227</x:v>
      </x:c>
      <x:c r="E433" s="16">
        <x:v>67</x:v>
      </x:c>
      <x:c r="F433" s="16">
        <x:v>35</x:v>
      </x:c>
      <x:c r="G433" s="16">
        <x:v>11</x:v>
      </x:c>
      <x:c r="H433" s="16">
        <x:v>78</x:v>
      </x:c>
      <x:c r="I433" s="16">
        <x:v>38</x:v>
      </x:c>
      <x:c r="J433" s="15" t="inlineStr">
        <x:is>
          <x:t xml:space="preserve">20/110</x:t>
        </x:is>
      </x:c>
      <x:c r="K433" s="1"/>
      <x:c r="L433" s="1"/>
    </x:row>
    <x:row r="434" ht="22" customHeight="1">
      <x:c r="A434" s="92" t="n">
        <x:v>45098</x:v>
      </x:c>
      <x:c r="B434" s="21" t="n">
        <x:v>2023</x:v>
      </x:c>
      <x:c r="C434" s="14">
        <x:v>3501</x:v>
      </x:c>
      <x:c r="D434" s="14">
        <x:v>6</x:v>
      </x:c>
      <x:c r="E434" s="14">
        <x:v>2</x:v>
      </x:c>
      <x:c r="F434" s="14">
        <x:v>2</x:v>
      </x:c>
      <x:c r="G434" s="14">
        <x:v>0</x:v>
      </x:c>
      <x:c r="H434" s="14">
        <x:v>179</x:v>
      </x:c>
      <x:c r="I434" s="14">
        <x:v>6</x:v>
      </x:c>
      <x:c r="J434" s="13" t="inlineStr">
        <x:is>
          <x:t xml:space="preserve">20/111</x:t>
        </x:is>
      </x:c>
      <x:c r="K434" s="1"/>
      <x:c r="L434" s="1"/>
    </x:row>
    <x:row r="435" ht="22" customHeight="1">
      <x:c r="A435" s="93" t="n">
        <x:v>45099</x:v>
      </x:c>
      <x:c r="B435" s="24" t="n">
        <x:v>2023</x:v>
      </x:c>
      <x:c r="C435" s="16">
        <x:v>6093</x:v>
      </x:c>
      <x:c r="D435" s="16">
        <x:v>140</x:v>
      </x:c>
      <x:c r="E435" s="16">
        <x:v>58</x:v>
      </x:c>
      <x:c r="F435" s="16">
        <x:v>26</x:v>
      </x:c>
      <x:c r="G435" s="16">
        <x:v>7</x:v>
      </x:c>
      <x:c r="H435" s="16">
        <x:v>167</x:v>
      </x:c>
      <x:c r="I435" s="16">
        <x:v>26</x:v>
      </x:c>
      <x:c r="J435" s="15" t="inlineStr">
        <x:is>
          <x:t xml:space="preserve">20/112</x:t>
        </x:is>
      </x:c>
      <x:c r="K435" s="1"/>
      <x:c r="L435" s="1"/>
    </x:row>
    <x:row r="436" ht="22" customHeight="1">
      <x:c r="A436" s="92" t="n">
        <x:v>45100</x:v>
      </x:c>
      <x:c r="B436" s="21" t="n">
        <x:v>2023</x:v>
      </x:c>
      <x:c r="C436" s="14">
        <x:v>4888</x:v>
      </x:c>
      <x:c r="D436" s="14">
        <x:v>30</x:v>
      </x:c>
      <x:c r="E436" s="14">
        <x:v>5</x:v>
      </x:c>
      <x:c r="F436" s="14">
        <x:v>10</x:v>
      </x:c>
      <x:c r="G436" s="14">
        <x:v>2</x:v>
      </x:c>
      <x:c r="H436" s="14">
        <x:v>135</x:v>
      </x:c>
      <x:c r="I436" s="14">
        <x:v>12</x:v>
      </x:c>
      <x:c r="J436" s="13" t="inlineStr">
        <x:is>
          <x:t xml:space="preserve">20/113</x:t>
        </x:is>
      </x:c>
      <x:c r="K436" s="1"/>
      <x:c r="L436" s="1"/>
    </x:row>
    <x:row r="437" ht="22" customHeight="1">
      <x:c r="A437" s="93" t="n">
        <x:v>45112</x:v>
      </x:c>
      <x:c r="B437" s="24" t="n">
        <x:v>2023</x:v>
      </x:c>
      <x:c r="C437" s="16">
        <x:v>2112</x:v>
      </x:c>
      <x:c r="D437" s="16">
        <x:v>3</x:v>
      </x:c>
      <x:c r="E437" s="16">
        <x:v>0</x:v>
      </x:c>
      <x:c r="F437" s="16">
        <x:v>2</x:v>
      </x:c>
      <x:c r="G437" s="16">
        <x:v>0</x:v>
      </x:c>
      <x:c r="H437" s="16">
        <x:v>113</x:v>
      </x:c>
      <x:c r="I437" s="16">
        <x:v>3</x:v>
      </x:c>
      <x:c r="J437" s="15" t="inlineStr">
        <x:is>
          <x:t xml:space="preserve">20/114</x:t>
        </x:is>
      </x:c>
      <x:c r="K437" s="1"/>
      <x:c r="L437" s="1"/>
    </x:row>
    <x:row r="438" ht="22" customHeight="1">
      <x:c r="A438" s="92" t="n">
        <x:v>45113</x:v>
      </x:c>
      <x:c r="B438" s="21" t="n">
        <x:v>2023</x:v>
      </x:c>
      <x:c r="C438" s="14">
        <x:v>6530</x:v>
      </x:c>
      <x:c r="D438" s="14">
        <x:v>6</x:v>
      </x:c>
      <x:c r="E438" s="14">
        <x:v>0</x:v>
      </x:c>
      <x:c r="F438" s="14">
        <x:v>2</x:v>
      </x:c>
      <x:c r="G438" s="14">
        <x:v>0</x:v>
      </x:c>
      <x:c r="H438" s="14">
        <x:v>195</x:v>
      </x:c>
      <x:c r="I438" s="14">
        <x:v>5</x:v>
      </x:c>
      <x:c r="J438" s="13" t="inlineStr">
        <x:is>
          <x:t xml:space="preserve">20/115</x:t>
        </x:is>
      </x:c>
      <x:c r="K438" s="1"/>
      <x:c r="L438" s="1"/>
    </x:row>
    <x:row r="439" ht="22" customHeight="1">
      <x:c r="A439" s="93" t="n">
        <x:v>45114</x:v>
      </x:c>
      <x:c r="B439" s="24" t="n">
        <x:v>2023</x:v>
      </x:c>
      <x:c r="C439" s="16">
        <x:v>3002</x:v>
      </x:c>
      <x:c r="D439" s="16">
        <x:v>5</x:v>
      </x:c>
      <x:c r="E439" s="16">
        <x:v>1</x:v>
      </x:c>
      <x:c r="F439" s="16">
        <x:v>1</x:v>
      </x:c>
      <x:c r="G439" s="16">
        <x:v>0</x:v>
      </x:c>
      <x:c r="H439" s="16">
        <x:v>83</x:v>
      </x:c>
      <x:c r="I439" s="16">
        <x:v>5</x:v>
      </x:c>
      <x:c r="J439" s="15" t="inlineStr">
        <x:is>
          <x:t xml:space="preserve">20/116</x:t>
        </x:is>
      </x:c>
      <x:c r="K439" s="1"/>
      <x:c r="L439" s="1"/>
    </x:row>
    <x:row r="440" ht="22" customHeight="1">
      <x:c r="A440" s="92" t="n">
        <x:v>45174</x:v>
      </x:c>
      <x:c r="B440" s="21" t="n">
        <x:v>2023</x:v>
      </x:c>
      <x:c r="C440" s="14">
        <x:v>4598</x:v>
      </x:c>
      <x:c r="D440" s="14">
        <x:v>18</x:v>
      </x:c>
      <x:c r="E440" s="14">
        <x:v>2</x:v>
      </x:c>
      <x:c r="F440" s="14">
        <x:v>5</x:v>
      </x:c>
      <x:c r="G440" s="14">
        <x:v>5</x:v>
      </x:c>
      <x:c r="H440" s="14">
        <x:v>104</x:v>
      </x:c>
      <x:c r="I440" s="14">
        <x:v>12</x:v>
      </x:c>
      <x:c r="J440" s="13" t="inlineStr">
        <x:is>
          <x:t xml:space="preserve">20/117 (neu)</x:t>
        </x:is>
      </x:c>
      <x:c r="K440" s="1"/>
      <x:c r="L440" s="1"/>
    </x:row>
    <x:row r="441" ht="22" customHeight="1">
      <x:c r="A441" s="93" t="n">
        <x:v>45175</x:v>
      </x:c>
      <x:c r="B441" s="24" t="n">
        <x:v>2023</x:v>
      </x:c>
      <x:c r="C441" s="16">
        <x:v>4348</x:v>
      </x:c>
      <x:c r="D441" s="16">
        <x:v>8</x:v>
      </x:c>
      <x:c r="E441" s="16">
        <x:v>1</x:v>
      </x:c>
      <x:c r="F441" s="16">
        <x:v>5</x:v>
      </x:c>
      <x:c r="G441" s="16">
        <x:v>2</x:v>
      </x:c>
      <x:c r="H441" s="16">
        <x:v>88</x:v>
      </x:c>
      <x:c r="I441" s="16">
        <x:v>7</x:v>
      </x:c>
      <x:c r="J441" s="15" t="inlineStr">
        <x:is>
          <x:t xml:space="preserve">20/118</x:t>
        </x:is>
      </x:c>
      <x:c r="K441" s="1"/>
      <x:c r="L441" s="1"/>
    </x:row>
    <x:row r="442" ht="22" customHeight="1">
      <x:c r="A442" s="92" t="n">
        <x:v>45176</x:v>
      </x:c>
      <x:c r="B442" s="21" t="n">
        <x:v>2023</x:v>
      </x:c>
      <x:c r="C442" s="14">
        <x:v>5368</x:v>
      </x:c>
      <x:c r="D442" s="14">
        <x:v>214</x:v>
      </x:c>
      <x:c r="E442" s="14">
        <x:v>53</x:v>
      </x:c>
      <x:c r="F442" s="14">
        <x:v>31</x:v>
      </x:c>
      <x:c r="G442" s="14">
        <x:v>9</x:v>
      </x:c>
      <x:c r="H442" s="14">
        <x:v>134</x:v>
      </x:c>
      <x:c r="I442" s="14">
        <x:v>20</x:v>
      </x:c>
      <x:c r="J442" s="13" t="inlineStr">
        <x:is>
          <x:t xml:space="preserve">20/119</x:t>
        </x:is>
      </x:c>
      <x:c r="K442" s="1"/>
      <x:c r="L442" s="1"/>
    </x:row>
    <x:row r="443" ht="22" customHeight="1">
      <x:c r="A443" s="93" t="n">
        <x:v>45177</x:v>
      </x:c>
      <x:c r="B443" s="24" t="n">
        <x:v>2023</x:v>
      </x:c>
      <x:c r="C443" s="16">
        <x:v>2785</x:v>
      </x:c>
      <x:c r="D443" s="16">
        <x:v>3</x:v>
      </x:c>
      <x:c r="E443" s="16">
        <x:v>1</x:v>
      </x:c>
      <x:c r="F443" s="16">
        <x:v>3</x:v>
      </x:c>
      <x:c r="G443" s="16">
        <x:v>0</x:v>
      </x:c>
      <x:c r="H443" s="16">
        <x:v>72</x:v>
      </x:c>
      <x:c r="I443" s="16">
        <x:v>3</x:v>
      </x:c>
      <x:c r="J443" s="15" t="inlineStr">
        <x:is>
          <x:t xml:space="preserve">20/120</x:t>
        </x:is>
      </x:c>
      <x:c r="K443" s="1"/>
      <x:c r="L443" s="1"/>
    </x:row>
    <x:row r="444" ht="22" customHeight="1">
      <x:c r="A444" s="92" t="n">
        <x:v>45189</x:v>
      </x:c>
      <x:c r="B444" s="21" t="n">
        <x:v>2023</x:v>
      </x:c>
      <x:c r="C444" s="14">
        <x:v>3103</x:v>
      </x:c>
      <x:c r="D444" s="14">
        <x:v>6</x:v>
      </x:c>
      <x:c r="E444" s="14">
        <x:v>0</x:v>
      </x:c>
      <x:c r="F444" s="14">
        <x:v>1</x:v>
      </x:c>
      <x:c r="G444" s="14">
        <x:v>3</x:v>
      </x:c>
      <x:c r="H444" s="14">
        <x:v>172</x:v>
      </x:c>
      <x:c r="I444" s="14">
        <x:v>4</x:v>
      </x:c>
      <x:c r="J444" s="13" t="inlineStr">
        <x:is>
          <x:t xml:space="preserve">20/121</x:t>
        </x:is>
      </x:c>
      <x:c r="K444" s="1"/>
      <x:c r="L444" s="1"/>
    </x:row>
    <x:row r="445" ht="22" customHeight="1">
      <x:c r="A445" s="93" t="n">
        <x:v>45190</x:v>
      </x:c>
      <x:c r="B445" s="24" t="n">
        <x:v>2023</x:v>
      </x:c>
      <x:c r="C445" s="16">
        <x:v>8578</x:v>
      </x:c>
      <x:c r="D445" s="16">
        <x:v>36</x:v>
      </x:c>
      <x:c r="E445" s="16">
        <x:v>2</x:v>
      </x:c>
      <x:c r="F445" s="16">
        <x:v>30</x:v>
      </x:c>
      <x:c r="G445" s="16">
        <x:v>0</x:v>
      </x:c>
      <x:c r="H445" s="16">
        <x:v>268</x:v>
      </x:c>
      <x:c r="I445" s="16">
        <x:v>26</x:v>
      </x:c>
      <x:c r="J445" s="15" t="inlineStr">
        <x:is>
          <x:t xml:space="preserve">20/122</x:t>
        </x:is>
      </x:c>
      <x:c r="K445" s="1"/>
      <x:c r="L445" s="1"/>
    </x:row>
    <x:row r="446" ht="22" customHeight="1">
      <x:c r="A446" s="92" t="n">
        <x:v>45191</x:v>
      </x:c>
      <x:c r="B446" s="21" t="n">
        <x:v>2023</x:v>
      </x:c>
      <x:c r="C446" s="14">
        <x:v>3434</x:v>
      </x:c>
      <x:c r="D446" s="14">
        <x:v>72</x:v>
      </x:c>
      <x:c r="E446" s="14">
        <x:v>6</x:v>
      </x:c>
      <x:c r="F446" s="14">
        <x:v>9</x:v>
      </x:c>
      <x:c r="G446" s="14">
        <x:v>1</x:v>
      </x:c>
      <x:c r="H446" s="14">
        <x:v>86</x:v>
      </x:c>
      <x:c r="I446" s="14">
        <x:v>15</x:v>
      </x:c>
      <x:c r="J446" s="13" t="inlineStr">
        <x:is>
          <x:t xml:space="preserve">20/123</x:t>
        </x:is>
      </x:c>
      <x:c r="K446" s="1"/>
      <x:c r="L446" s="1"/>
    </x:row>
    <x:row r="447" ht="22" customHeight="1">
      <x:c r="A447" s="93" t="n">
        <x:v>45196</x:v>
      </x:c>
      <x:c r="B447" s="24" t="n">
        <x:v>2023</x:v>
      </x:c>
      <x:c r="C447" s="16">
        <x:v>2745</x:v>
      </x:c>
      <x:c r="D447" s="16">
        <x:v>17</x:v>
      </x:c>
      <x:c r="E447" s="16">
        <x:v>2</x:v>
      </x:c>
      <x:c r="F447" s="16">
        <x:v>4</x:v>
      </x:c>
      <x:c r="G447" s="16">
        <x:v>3</x:v>
      </x:c>
      <x:c r="H447" s="16">
        <x:v>164</x:v>
      </x:c>
      <x:c r="I447" s="16">
        <x:v>15</x:v>
      </x:c>
      <x:c r="J447" s="15" t="inlineStr">
        <x:is>
          <x:t xml:space="preserve">20/124</x:t>
        </x:is>
      </x:c>
      <x:c r="K447" s="1"/>
      <x:c r="L447" s="1"/>
    </x:row>
    <x:row r="448" ht="22" customHeight="1">
      <x:c r="A448" s="92" t="n">
        <x:v>45197</x:v>
      </x:c>
      <x:c r="B448" s="21" t="n">
        <x:v>2023</x:v>
      </x:c>
      <x:c r="C448" s="14">
        <x:v>6563</x:v>
      </x:c>
      <x:c r="D448" s="14">
        <x:v>11</x:v>
      </x:c>
      <x:c r="E448" s="14">
        <x:v>2</x:v>
      </x:c>
      <x:c r="F448" s="14">
        <x:v>2</x:v>
      </x:c>
      <x:c r="G448" s="14">
        <x:v>1</x:v>
      </x:c>
      <x:c r="H448" s="14">
        <x:v>178</x:v>
      </x:c>
      <x:c r="I448" s="14">
        <x:v>8</x:v>
      </x:c>
      <x:c r="J448" s="13" t="inlineStr">
        <x:is>
          <x:t xml:space="preserve">20/125 (neu)</x:t>
        </x:is>
      </x:c>
      <x:c r="K448" s="1"/>
      <x:c r="L448" s="1"/>
    </x:row>
    <x:row r="449" ht="22" customHeight="1">
      <x:c r="A449" s="93" t="n">
        <x:v>45198</x:v>
      </x:c>
      <x:c r="B449" s="24" t="n">
        <x:v>2023</x:v>
      </x:c>
      <x:c r="C449" s="16">
        <x:v>2307</x:v>
      </x:c>
      <x:c r="D449" s="16">
        <x:v>4</x:v>
      </x:c>
      <x:c r="E449" s="16">
        <x:v>0</x:v>
      </x:c>
      <x:c r="F449" s="16">
        <x:v>0</x:v>
      </x:c>
      <x:c r="G449" s="16">
        <x:v>1</x:v>
      </x:c>
      <x:c r="H449" s="16">
        <x:v>64</x:v>
      </x:c>
      <x:c r="I449" s="16">
        <x:v>3</x:v>
      </x:c>
      <x:c r="J449" s="15" t="inlineStr">
        <x:is>
          <x:t xml:space="preserve">20/126</x:t>
        </x:is>
      </x:c>
      <x:c r="K449" s="1"/>
      <x:c r="L449" s="1"/>
    </x:row>
    <x:row r="450" ht="22" customHeight="1">
      <x:c r="A450" s="92" t="n">
        <x:v>45210</x:v>
      </x:c>
      <x:c r="B450" s="21" t="n">
        <x:v>2023</x:v>
      </x:c>
      <x:c r="C450" s="14">
        <x:v>2586</x:v>
      </x:c>
      <x:c r="D450" s="14">
        <x:v>35</x:v>
      </x:c>
      <x:c r="E450" s="14">
        <x:v>4</x:v>
      </x:c>
      <x:c r="F450" s="14">
        <x:v>3</x:v>
      </x:c>
      <x:c r="G450" s="14">
        <x:v>1</x:v>
      </x:c>
      <x:c r="H450" s="14">
        <x:v>148</x:v>
      </x:c>
      <x:c r="I450" s="14">
        <x:v>24</x:v>
      </x:c>
      <x:c r="J450" s="13" t="inlineStr">
        <x:is>
          <x:t xml:space="preserve">20/127</x:t>
        </x:is>
      </x:c>
      <x:c r="K450" s="1"/>
      <x:c r="L450" s="1"/>
    </x:row>
    <x:row r="451" ht="22" customHeight="1">
      <x:c r="A451" s="93" t="n">
        <x:v>45211</x:v>
      </x:c>
      <x:c r="B451" s="24" t="n">
        <x:v>2023</x:v>
      </x:c>
      <x:c r="C451" s="16">
        <x:v>6962</x:v>
      </x:c>
      <x:c r="D451" s="16">
        <x:v>79</x:v>
      </x:c>
      <x:c r="E451" s="16">
        <x:v>31</x:v>
      </x:c>
      <x:c r="F451" s="16">
        <x:v>17</x:v>
      </x:c>
      <x:c r="G451" s="16">
        <x:v>9</x:v>
      </x:c>
      <x:c r="H451" s="16">
        <x:v>212</x:v>
      </x:c>
      <x:c r="I451" s="16">
        <x:v>24</x:v>
      </x:c>
      <x:c r="J451" s="15" t="inlineStr">
        <x:is>
          <x:t xml:space="preserve">20/128</x:t>
        </x:is>
      </x:c>
      <x:c r="K451" s="1"/>
      <x:c r="L451" s="1"/>
    </x:row>
    <x:row r="452" ht="22" customHeight="1">
      <x:c r="A452" s="92" t="n">
        <x:v>45212</x:v>
      </x:c>
      <x:c r="B452" s="21" t="n">
        <x:v>2023</x:v>
      </x:c>
      <x:c r="C452" s="14">
        <x:v>2782</x:v>
      </x:c>
      <x:c r="D452" s="14">
        <x:v>3</x:v>
      </x:c>
      <x:c r="E452" s="14">
        <x:v>1</x:v>
      </x:c>
      <x:c r="F452" s="14">
        <x:v>1</x:v>
      </x:c>
      <x:c r="G452" s="14">
        <x:v>0</x:v>
      </x:c>
      <x:c r="H452" s="14">
        <x:v>82</x:v>
      </x:c>
      <x:c r="I452" s="14">
        <x:v>3</x:v>
      </x:c>
      <x:c r="J452" s="13" t="inlineStr">
        <x:is>
          <x:t xml:space="preserve">20/129</x:t>
        </x:is>
      </x:c>
      <x:c r="K452" s="1"/>
      <x:c r="L452" s="1"/>
    </x:row>
    <x:row r="453" ht="22" customHeight="1">
      <x:c r="A453" s="93" t="n">
        <x:v>45217</x:v>
      </x:c>
      <x:c r="B453" s="24" t="n">
        <x:v>2023</x:v>
      </x:c>
      <x:c r="C453" s="16">
        <x:v>2773</x:v>
      </x:c>
      <x:c r="D453" s="16">
        <x:v>3</x:v>
      </x:c>
      <x:c r="E453" s="16">
        <x:v>0</x:v>
      </x:c>
      <x:c r="F453" s="16">
        <x:v>2</x:v>
      </x:c>
      <x:c r="G453" s="16">
        <x:v>0</x:v>
      </x:c>
      <x:c r="H453" s="16">
        <x:v>167</x:v>
      </x:c>
      <x:c r="I453" s="16">
        <x:v>2</x:v>
      </x:c>
      <x:c r="J453" s="15" t="inlineStr">
        <x:is>
          <x:t xml:space="preserve">20/130</x:t>
        </x:is>
      </x:c>
      <x:c r="K453" s="1"/>
      <x:c r="L453" s="1"/>
    </x:row>
    <x:row r="454" ht="22" customHeight="1">
      <x:c r="A454" s="92" t="n">
        <x:v>45218</x:v>
      </x:c>
      <x:c r="B454" s="21" t="n">
        <x:v>2023</x:v>
      </x:c>
      <x:c r="C454" s="14">
        <x:v>7535</x:v>
      </x:c>
      <x:c r="D454" s="14">
        <x:v>78</x:v>
      </x:c>
      <x:c r="E454" s="14">
        <x:v>48</x:v>
      </x:c>
      <x:c r="F454" s="14">
        <x:v>13</x:v>
      </x:c>
      <x:c r="G454" s="14">
        <x:v>2</x:v>
      </x:c>
      <x:c r="H454" s="14">
        <x:v>223</x:v>
      </x:c>
      <x:c r="I454" s="14">
        <x:v>18</x:v>
      </x:c>
      <x:c r="J454" s="13" t="inlineStr">
        <x:is>
          <x:t xml:space="preserve">20/131</x:t>
        </x:is>
      </x:c>
      <x:c r="K454" s="1"/>
      <x:c r="L454" s="1"/>
    </x:row>
    <x:row r="455" ht="22" customHeight="1">
      <x:c r="A455" s="93" t="n">
        <x:v>45219</x:v>
      </x:c>
      <x:c r="B455" s="24" t="n">
        <x:v>2023</x:v>
      </x:c>
      <x:c r="C455" s="16">
        <x:v>3165</x:v>
      </x:c>
      <x:c r="D455" s="16">
        <x:v>4</x:v>
      </x:c>
      <x:c r="E455" s="16">
        <x:v>0</x:v>
      </x:c>
      <x:c r="F455" s="16">
        <x:v>1</x:v>
      </x:c>
      <x:c r="G455" s="16">
        <x:v>0</x:v>
      </x:c>
      <x:c r="H455" s="16">
        <x:v>87</x:v>
      </x:c>
      <x:c r="I455" s="16">
        <x:v>3</x:v>
      </x:c>
      <x:c r="J455" s="15" t="inlineStr">
        <x:is>
          <x:t xml:space="preserve">20/132</x:t>
        </x:is>
      </x:c>
      <x:c r="K455" s="1"/>
      <x:c r="L455" s="1"/>
    </x:row>
    <x:row r="456" ht="22" customHeight="1">
      <x:c r="A456" s="92" t="n">
        <x:v>45238</x:v>
      </x:c>
      <x:c r="B456" s="21" t="n">
        <x:v>2023</x:v>
      </x:c>
      <x:c r="C456" s="14">
        <x:v>2781</x:v>
      </x:c>
      <x:c r="D456" s="14">
        <x:v>4</x:v>
      </x:c>
      <x:c r="E456" s="14">
        <x:v>0</x:v>
      </x:c>
      <x:c r="F456" s="14">
        <x:v>3</x:v>
      </x:c>
      <x:c r="G456" s="14">
        <x:v>0</x:v>
      </x:c>
      <x:c r="H456" s="14">
        <x:v>157</x:v>
      </x:c>
      <x:c r="I456" s="14">
        <x:v>3</x:v>
      </x:c>
      <x:c r="J456" s="13" t="inlineStr">
        <x:is>
          <x:t xml:space="preserve">20/133</x:t>
        </x:is>
      </x:c>
      <x:c r="K456" s="1"/>
      <x:c r="L456" s="1"/>
    </x:row>
    <x:row r="457" ht="22" customHeight="1">
      <x:c r="A457" s="93" t="n">
        <x:v>45239</x:v>
      </x:c>
      <x:c r="B457" s="24" t="n">
        <x:v>2023</x:v>
      </x:c>
      <x:c r="C457" s="16">
        <x:v>6964</x:v>
      </x:c>
      <x:c r="D457" s="16">
        <x:v>101</x:v>
      </x:c>
      <x:c r="E457" s="16">
        <x:v>36</x:v>
      </x:c>
      <x:c r="F457" s="16">
        <x:v>21</x:v>
      </x:c>
      <x:c r="G457" s="16">
        <x:v>5</x:v>
      </x:c>
      <x:c r="H457" s="16">
        <x:v>210</x:v>
      </x:c>
      <x:c r="I457" s="16">
        <x:v>18</x:v>
      </x:c>
      <x:c r="J457" s="15" t="inlineStr">
        <x:is>
          <x:t xml:space="preserve">20/134</x:t>
        </x:is>
      </x:c>
      <x:c r="K457" s="1"/>
      <x:c r="L457" s="1"/>
    </x:row>
    <x:row r="458" ht="22" customHeight="1">
      <x:c r="A458" s="92" t="n">
        <x:v>45240</x:v>
      </x:c>
      <x:c r="B458" s="21" t="n">
        <x:v>2023</x:v>
      </x:c>
      <x:c r="C458" s="14">
        <x:v>2984</x:v>
      </x:c>
      <x:c r="D458" s="14">
        <x:v>15</x:v>
      </x:c>
      <x:c r="E458" s="14">
        <x:v>0</x:v>
      </x:c>
      <x:c r="F458" s="14">
        <x:v>3</x:v>
      </x:c>
      <x:c r="G458" s="14">
        <x:v>0</x:v>
      </x:c>
      <x:c r="H458" s="14">
        <x:v>82</x:v>
      </x:c>
      <x:c r="I458" s="14">
        <x:v>8</x:v>
      </x:c>
      <x:c r="J458" s="13" t="inlineStr">
        <x:is>
          <x:t xml:space="preserve">20/135</x:t>
        </x:is>
      </x:c>
      <x:c r="K458" s="1"/>
      <x:c r="L458" s="1"/>
    </x:row>
    <x:row r="459" ht="22" customHeight="1">
      <x:c r="A459" s="93" t="n">
        <x:v>45245</x:v>
      </x:c>
      <x:c r="B459" s="24" t="n">
        <x:v>2023</x:v>
      </x:c>
      <x:c r="C459" s="16">
        <x:v>2680</x:v>
      </x:c>
      <x:c r="D459" s="16">
        <x:v>0</x:v>
      </x:c>
      <x:c r="E459" s="16">
        <x:v>0</x:v>
      </x:c>
      <x:c r="F459" s="16">
        <x:v>0</x:v>
      </x:c>
      <x:c r="G459" s="16">
        <x:v>0</x:v>
      </x:c>
      <x:c r="H459" s="16">
        <x:v>137</x:v>
      </x:c>
      <x:c r="I459" s="16">
        <x:v>0</x:v>
      </x:c>
      <x:c r="J459" s="15"/>
      <x:c r="K459" s="1"/>
      <x:c r="L459" s="1"/>
    </x:row>
    <x:row r="460" ht="22" customHeight="1">
      <x:c r="A460" s="92" t="n">
        <x:v>45246</x:v>
      </x:c>
      <x:c r="B460" s="21" t="n">
        <x:v>2023</x:v>
      </x:c>
      <x:c r="C460" s="14">
        <x:v>7081</x:v>
      </x:c>
      <x:c r="D460" s="14">
        <x:v>20</x:v>
      </x:c>
      <x:c r="E460" s="14">
        <x:v>2</x:v>
      </x:c>
      <x:c r="F460" s="14">
        <x:v>11</x:v>
      </x:c>
      <x:c r="G460" s="14">
        <x:v>2</x:v>
      </x:c>
      <x:c r="H460" s="14">
        <x:v>210</x:v>
      </x:c>
      <x:c r="I460" s="14">
        <x:v>12</x:v>
      </x:c>
      <x:c r="J460" s="13" t="inlineStr">
        <x:is>
          <x:t xml:space="preserve">20/137</x:t>
        </x:is>
      </x:c>
      <x:c r="K460" s="1"/>
      <x:c r="L460" s="1"/>
    </x:row>
    <x:row r="461" ht="22" customHeight="1">
      <x:c r="A461" s="93" t="n">
        <x:v>45247</x:v>
      </x:c>
      <x:c r="B461" s="24" t="n">
        <x:v>2023</x:v>
      </x:c>
      <x:c r="C461" s="16">
        <x:v>4579</x:v>
      </x:c>
      <x:c r="D461" s="16">
        <x:v>1</x:v>
      </x:c>
      <x:c r="E461" s="16">
        <x:v>0</x:v>
      </x:c>
      <x:c r="F461" s="16">
        <x:v>1</x:v>
      </x:c>
      <x:c r="G461" s="16">
        <x:v>0</x:v>
      </x:c>
      <x:c r="H461" s="16">
        <x:v>139</x:v>
      </x:c>
      <x:c r="I461" s="16">
        <x:v>1</x:v>
      </x:c>
      <x:c r="J461" s="15" t="inlineStr">
        <x:is>
          <x:t xml:space="preserve">20/138</x:t>
        </x:is>
      </x:c>
      <x:c r="K461" s="1"/>
      <x:c r="L461" s="1"/>
    </x:row>
    <x:row r="462" ht="22" customHeight="1">
      <x:c r="A462" s="92" t="n">
        <x:v>45258</x:v>
      </x:c>
      <x:c r="B462" s="21" t="n">
        <x:v>2023</x:v>
      </x:c>
      <x:c r="C462" s="14">
        <x:v>1145</x:v>
      </x:c>
      <x:c r="D462" s="14">
        <x:v>1</x:v>
      </x:c>
      <x:c r="E462" s="14">
        <x:v>0</x:v>
      </x:c>
      <x:c r="F462" s="14">
        <x:v>1</x:v>
      </x:c>
      <x:c r="G462" s="14">
        <x:v>0</x:v>
      </x:c>
      <x:c r="H462" s="14">
        <x:v>18</x:v>
      </x:c>
      <x:c r="I462" s="14">
        <x:v>1</x:v>
      </x:c>
      <x:c r="J462" s="13" t="inlineStr">
        <x:is>
          <x:t xml:space="preserve">20/139</x:t>
        </x:is>
      </x:c>
      <x:c r="K462" s="1"/>
      <x:c r="L462" s="1"/>
    </x:row>
    <x:row r="463" ht="22" customHeight="1">
      <x:c r="A463" s="93" t="n">
        <x:v>45259</x:v>
      </x:c>
      <x:c r="B463" s="24" t="n">
        <x:v>2023</x:v>
      </x:c>
      <x:c r="C463" s="16">
        <x:v>2569</x:v>
      </x:c>
      <x:c r="D463" s="16">
        <x:v>12</x:v>
      </x:c>
      <x:c r="E463" s="16">
        <x:v>1</x:v>
      </x:c>
      <x:c r="F463" s="16">
        <x:v>6</x:v>
      </x:c>
      <x:c r="G463" s="16">
        <x:v>0</x:v>
      </x:c>
      <x:c r="H463" s="16">
        <x:v>163</x:v>
      </x:c>
      <x:c r="I463" s="16">
        <x:v>6</x:v>
      </x:c>
      <x:c r="J463" s="15" t="inlineStr">
        <x:is>
          <x:t xml:space="preserve">20/140</x:t>
        </x:is>
      </x:c>
      <x:c r="K463" s="1"/>
      <x:c r="L463" s="1"/>
    </x:row>
    <x:row r="464" ht="22" customHeight="1">
      <x:c r="A464" s="92" t="n">
        <x:v>45260</x:v>
      </x:c>
      <x:c r="B464" s="21" t="n">
        <x:v>2023</x:v>
      </x:c>
      <x:c r="C464" s="14">
        <x:v>5640</x:v>
      </x:c>
      <x:c r="D464" s="14">
        <x:v>196</x:v>
      </x:c>
      <x:c r="E464" s="14">
        <x:v>65</x:v>
      </x:c>
      <x:c r="F464" s="14">
        <x:v>24</x:v>
      </x:c>
      <x:c r="G464" s="14">
        <x:v>21</x:v>
      </x:c>
      <x:c r="H464" s="14">
        <x:v>140</x:v>
      </x:c>
      <x:c r="I464" s="14">
        <x:v>26</x:v>
      </x:c>
      <x:c r="J464" s="13" t="inlineStr">
        <x:is>
          <x:t xml:space="preserve">20/141</x:t>
        </x:is>
      </x:c>
      <x:c r="K464" s="1"/>
      <x:c r="L464" s="1"/>
    </x:row>
    <x:row r="465" ht="22" customHeight="1">
      <x:c r="A465" s="93" t="n">
        <x:v>45261</x:v>
      </x:c>
      <x:c r="B465" s="24" t="n">
        <x:v>2023</x:v>
      </x:c>
      <x:c r="C465" s="16">
        <x:v>3059</x:v>
      </x:c>
      <x:c r="D465" s="16">
        <x:v>9</x:v>
      </x:c>
      <x:c r="E465" s="16">
        <x:v>4</x:v>
      </x:c>
      <x:c r="F465" s="16">
        <x:v>5</x:v>
      </x:c>
      <x:c r="G465" s="16">
        <x:v>6</x:v>
      </x:c>
      <x:c r="H465" s="16">
        <x:v>82</x:v>
      </x:c>
      <x:c r="I465" s="16">
        <x:v>4</x:v>
      </x:c>
      <x:c r="J465" s="15" t="inlineStr">
        <x:is>
          <x:t xml:space="preserve">20/142</x:t>
        </x:is>
      </x:c>
      <x:c r="K465" s="1"/>
      <x:c r="L465" s="1"/>
    </x:row>
    <x:row r="466" ht="22" customHeight="1">
      <x:c r="A466" s="92" t="n">
        <x:v>45273</x:v>
      </x:c>
      <x:c r="B466" s="21" t="n">
        <x:v>2023</x:v>
      </x:c>
      <x:c r="C466" s="14">
        <x:v>3437</x:v>
      </x:c>
      <x:c r="D466" s="14">
        <x:v>102</x:v>
      </x:c>
      <x:c r="E466" s="14">
        <x:v>27</x:v>
      </x:c>
      <x:c r="F466" s="14">
        <x:v>18</x:v>
      </x:c>
      <x:c r="G466" s="14">
        <x:v>1</x:v>
      </x:c>
      <x:c r="H466" s="14">
        <x:v>169</x:v>
      </x:c>
      <x:c r="I466" s="14">
        <x:v>45</x:v>
      </x:c>
      <x:c r="J466" s="13" t="inlineStr">
        <x:is>
          <x:t xml:space="preserve">20/143</x:t>
        </x:is>
      </x:c>
      <x:c r="K466" s="1"/>
      <x:c r="L466" s="1"/>
    </x:row>
    <x:row r="467" ht="22" customHeight="1">
      <x:c r="A467" s="93" t="n">
        <x:v>45274</x:v>
      </x:c>
      <x:c r="B467" s="24" t="n">
        <x:v>2023</x:v>
      </x:c>
      <x:c r="C467" s="16">
        <x:v>5835</x:v>
      </x:c>
      <x:c r="D467" s="16">
        <x:v>54</x:v>
      </x:c>
      <x:c r="E467" s="16">
        <x:v>12</x:v>
      </x:c>
      <x:c r="F467" s="16">
        <x:v>19</x:v>
      </x:c>
      <x:c r="G467" s="16">
        <x:v>16</x:v>
      </x:c>
      <x:c r="H467" s="16">
        <x:v>153</x:v>
      </x:c>
      <x:c r="I467" s="16">
        <x:v>15</x:v>
      </x:c>
      <x:c r="J467" s="15" t="inlineStr">
        <x:is>
          <x:t xml:space="preserve">20/144</x:t>
        </x:is>
      </x:c>
      <x:c r="K467" s="1"/>
      <x:c r="L467" s="1"/>
    </x:row>
    <x:row r="468" ht="22" customHeight="1">
      <x:c r="A468" s="92" t="n">
        <x:v>45275</x:v>
      </x:c>
      <x:c r="B468" s="21" t="n">
        <x:v>2023</x:v>
      </x:c>
      <x:c r="C468" s="14">
        <x:v>2680</x:v>
      </x:c>
      <x:c r="D468" s="14">
        <x:v>13</x:v>
      </x:c>
      <x:c r="E468" s="14">
        <x:v>2</x:v>
      </x:c>
      <x:c r="F468" s="14">
        <x:v>4</x:v>
      </x:c>
      <x:c r="G468" s="14">
        <x:v>0</x:v>
      </x:c>
      <x:c r="H468" s="14">
        <x:v>76</x:v>
      </x:c>
      <x:c r="I468" s="14">
        <x:v>7</x:v>
      </x:c>
      <x:c r="J468" s="13" t="inlineStr">
        <x:is>
          <x:t xml:space="preserve">20/145</x:t>
        </x:is>
      </x:c>
      <x:c r="K468" s="1"/>
      <x:c r="L468" s="1"/>
    </x:row>
    <x:row r="469" ht="22" customHeight="1">
      <x:c r="A469" s="93" t="n">
        <x:v>45308</x:v>
      </x:c>
      <x:c r="B469" s="24" t="n">
        <x:v>2024</x:v>
      </x:c>
      <x:c r="C469" s="16">
        <x:v>2936</x:v>
      </x:c>
      <x:c r="D469" s="16">
        <x:v>357</x:v>
      </x:c>
      <x:c r="E469" s="16">
        <x:v>34</x:v>
      </x:c>
      <x:c r="F469" s="16">
        <x:v>135</x:v>
      </x:c>
      <x:c r="G469" s="16">
        <x:v>2</x:v>
      </x:c>
      <x:c r="H469" s="16">
        <x:v>177</x:v>
      </x:c>
      <x:c r="I469" s="16">
        <x:v>55</x:v>
      </x:c>
      <x:c r="J469" s="15" t="inlineStr">
        <x:is>
          <x:t xml:space="preserve">20/146</x:t>
        </x:is>
      </x:c>
      <x:c r="K469" s="1"/>
      <x:c r="L469" s="1"/>
    </x:row>
    <x:row r="470" ht="22" customHeight="1">
      <x:c r="A470" s="92" t="n">
        <x:v>45309</x:v>
      </x:c>
      <x:c r="B470" s="21" t="n">
        <x:v>2024</x:v>
      </x:c>
      <x:c r="C470" s="14">
        <x:v>5621</x:v>
      </x:c>
      <x:c r="D470" s="14">
        <x:v>467</x:v>
      </x:c>
      <x:c r="E470" s="14">
        <x:v>82</x:v>
      </x:c>
      <x:c r="F470" s="14">
        <x:v>124</x:v>
      </x:c>
      <x:c r="G470" s="14">
        <x:v>13</x:v>
      </x:c>
      <x:c r="H470" s="14">
        <x:v>163</x:v>
      </x:c>
      <x:c r="I470" s="14">
        <x:v>40</x:v>
      </x:c>
      <x:c r="J470" s="13" t="inlineStr">
        <x:is>
          <x:t xml:space="preserve">20/147</x:t>
        </x:is>
      </x:c>
      <x:c r="K470" s="1"/>
      <x:c r="L470" s="1"/>
    </x:row>
    <x:row r="471" ht="22" customHeight="1">
      <x:c r="A471" s="93" t="n">
        <x:v>45310</x:v>
      </x:c>
      <x:c r="B471" s="24" t="n">
        <x:v>2024</x:v>
      </x:c>
      <x:c r="C471" s="16">
        <x:v>2424</x:v>
      </x:c>
      <x:c r="D471" s="16">
        <x:v>34</x:v>
      </x:c>
      <x:c r="E471" s="16">
        <x:v>6</x:v>
      </x:c>
      <x:c r="F471" s="16">
        <x:v>5</x:v>
      </x:c>
      <x:c r="G471" s="16">
        <x:v>2</x:v>
      </x:c>
      <x:c r="H471" s="16">
        <x:v>76</x:v>
      </x:c>
      <x:c r="I471" s="16">
        <x:v>13</x:v>
      </x:c>
      <x:c r="J471" s="15" t="inlineStr">
        <x:is>
          <x:t xml:space="preserve">20/148</x:t>
        </x:is>
      </x:c>
      <x:c r="K471" s="1"/>
      <x:c r="L471" s="1"/>
    </x:row>
    <x:row r="472" ht="22" customHeight="1">
      <x:c r="A472" s="92" t="n">
        <x:v>45321</x:v>
      </x:c>
      <x:c r="B472" s="21" t="n">
        <x:v>2024</x:v>
      </x:c>
      <x:c r="C472" s="14">
        <x:v>5253</x:v>
      </x:c>
      <x:c r="D472" s="14">
        <x:v>20</x:v>
      </x:c>
      <x:c r="E472" s="14">
        <x:v>2</x:v>
      </x:c>
      <x:c r="F472" s="14">
        <x:v>9</x:v>
      </x:c>
      <x:c r="G472" s="14">
        <x:v>0</x:v>
      </x:c>
      <x:c r="H472" s="14">
        <x:v>135</x:v>
      </x:c>
      <x:c r="I472" s="14">
        <x:v>14</x:v>
      </x:c>
      <x:c r="J472" s="13" t="inlineStr">
        <x:is>
          <x:t xml:space="preserve">20/149</x:t>
        </x:is>
      </x:c>
      <x:c r="K472" s="1"/>
      <x:c r="L472" s="1"/>
    </x:row>
    <x:row r="473" ht="22" customHeight="1">
      <x:c r="A473" s="93" t="n">
        <x:v>45322</x:v>
      </x:c>
      <x:c r="B473" s="24" t="n">
        <x:v>2024</x:v>
      </x:c>
      <x:c r="C473" s="16">
        <x:v>4225</x:v>
      </x:c>
      <x:c r="D473" s="16">
        <x:v>40</x:v>
      </x:c>
      <x:c r="E473" s="16">
        <x:v>2</x:v>
      </x:c>
      <x:c r="F473" s="16">
        <x:v>12</x:v>
      </x:c>
      <x:c r="G473" s="16">
        <x:v>4</x:v>
      </x:c>
      <x:c r="H473" s="16">
        <x:v>99</x:v>
      </x:c>
      <x:c r="I473" s="16">
        <x:v>25</x:v>
      </x:c>
      <x:c r="J473" s="15" t="inlineStr">
        <x:is>
          <x:t xml:space="preserve">20/150</x:t>
        </x:is>
      </x:c>
      <x:c r="K473" s="1"/>
      <x:c r="L473" s="1"/>
    </x:row>
    <x:row r="474" ht="22" customHeight="1">
      <x:c r="A474" s="92" t="n">
        <x:v>45323</x:v>
      </x:c>
      <x:c r="B474" s="21" t="n">
        <x:v>2024</x:v>
      </x:c>
      <x:c r="C474" s="14">
        <x:v>5578</x:v>
      </x:c>
      <x:c r="D474" s="14">
        <x:v>313</x:v>
      </x:c>
      <x:c r="E474" s="14">
        <x:v>65</x:v>
      </x:c>
      <x:c r="F474" s="14">
        <x:v>88</x:v>
      </x:c>
      <x:c r="G474" s="14">
        <x:v>6</x:v>
      </x:c>
      <x:c r="H474" s="14">
        <x:v>139</x:v>
      </x:c>
      <x:c r="I474" s="14">
        <x:v>37</x:v>
      </x:c>
      <x:c r="J474" s="13" t="inlineStr">
        <x:is>
          <x:t xml:space="preserve">20/151</x:t>
        </x:is>
      </x:c>
      <x:c r="K474" s="1"/>
      <x:c r="L474" s="1"/>
    </x:row>
    <x:row r="475" ht="22" customHeight="1">
      <x:c r="A475" s="93" t="n">
        <x:v>45324</x:v>
      </x:c>
      <x:c r="B475" s="24" t="n">
        <x:v>2024</x:v>
      </x:c>
      <x:c r="C475" s="16">
        <x:v>1588</x:v>
      </x:c>
      <x:c r="D475" s="16">
        <x:v>120</x:v>
      </x:c>
      <x:c r="E475" s="16">
        <x:v>10</x:v>
      </x:c>
      <x:c r="F475" s="16">
        <x:v>60</x:v>
      </x:c>
      <x:c r="G475" s="16">
        <x:v>2</x:v>
      </x:c>
      <x:c r="H475" s="16">
        <x:v>55</x:v>
      </x:c>
      <x:c r="I475" s="16">
        <x:v>18</x:v>
      </x:c>
      <x:c r="J475" s="15" t="inlineStr">
        <x:is>
          <x:t xml:space="preserve">20/152</x:t>
        </x:is>
      </x:c>
      <x:c r="K475" s="1"/>
      <x:c r="L475" s="1"/>
    </x:row>
    <x:row r="476" ht="22" customHeight="1">
      <x:c r="A476" s="92" t="n">
        <x:v>45343</x:v>
      </x:c>
      <x:c r="B476" s="21" t="n">
        <x:v>2024</x:v>
      </x:c>
      <x:c r="C476" s="14">
        <x:v>2637</x:v>
      </x:c>
      <x:c r="D476" s="14">
        <x:v>6</x:v>
      </x:c>
      <x:c r="E476" s="14">
        <x:v>0</x:v>
      </x:c>
      <x:c r="F476" s="14">
        <x:v>3</x:v>
      </x:c>
      <x:c r="G476" s="14">
        <x:v>0</x:v>
      </x:c>
      <x:c r="H476" s="14">
        <x:v>160</x:v>
      </x:c>
      <x:c r="I476" s="14">
        <x:v>5</x:v>
      </x:c>
      <x:c r="J476" s="13" t="inlineStr">
        <x:is>
          <x:t xml:space="preserve">20/153</x:t>
        </x:is>
      </x:c>
      <x:c r="K476" s="1"/>
      <x:c r="L476" s="1"/>
    </x:row>
    <x:row r="477" ht="22" customHeight="1">
      <x:c r="A477" s="93" t="n">
        <x:v>45344</x:v>
      </x:c>
      <x:c r="B477" s="24" t="n">
        <x:v>2024</x:v>
      </x:c>
      <x:c r="C477" s="16">
        <x:v>7555</x:v>
      </x:c>
      <x:c r="D477" s="16">
        <x:v>249</x:v>
      </x:c>
      <x:c r="E477" s="16">
        <x:v>52</x:v>
      </x:c>
      <x:c r="F477" s="16">
        <x:v>83</x:v>
      </x:c>
      <x:c r="G477" s="16">
        <x:v>7</x:v>
      </x:c>
      <x:c r="H477" s="16">
        <x:v>234</x:v>
      </x:c>
      <x:c r="I477" s="16">
        <x:v>34</x:v>
      </x:c>
      <x:c r="J477" s="15" t="inlineStr">
        <x:is>
          <x:t xml:space="preserve">20/154</x:t>
        </x:is>
      </x:c>
      <x:c r="K477" s="1"/>
      <x:c r="L477" s="1"/>
    </x:row>
    <x:row r="478" ht="22" customHeight="1">
      <x:c r="A478" s="92" t="n">
        <x:v>45345</x:v>
      </x:c>
      <x:c r="B478" s="21" t="n">
        <x:v>2024</x:v>
      </x:c>
      <x:c r="C478" s="14">
        <x:v>4172</x:v>
      </x:c>
      <x:c r="D478" s="14">
        <x:v>15</x:v>
      </x:c>
      <x:c r="E478" s="14">
        <x:v>1</x:v>
      </x:c>
      <x:c r="F478" s="14">
        <x:v>4</x:v>
      </x:c>
      <x:c r="G478" s="14">
        <x:v>1</x:v>
      </x:c>
      <x:c r="H478" s="14">
        <x:v>117</x:v>
      </x:c>
      <x:c r="I478" s="14">
        <x:v>6</x:v>
      </x:c>
      <x:c r="J478" s="13" t="inlineStr">
        <x:is>
          <x:t xml:space="preserve">20/155</x:t>
        </x:is>
      </x:c>
      <x:c r="K478" s="1"/>
      <x:c r="L478" s="1"/>
    </x:row>
    <x:row r="479" ht="22" customHeight="1">
      <x:c r="A479" s="93" t="n">
        <x:v>45364</x:v>
      </x:c>
      <x:c r="B479" s="24" t="n">
        <x:v>2024</x:v>
      </x:c>
      <x:c r="C479" s="16">
        <x:v>1985</x:v>
      </x:c>
      <x:c r="D479" s="16">
        <x:v>2</x:v>
      </x:c>
      <x:c r="E479" s="16">
        <x:v>0</x:v>
      </x:c>
      <x:c r="F479" s="16">
        <x:v>0</x:v>
      </x:c>
      <x:c r="G479" s="16">
        <x:v>0</x:v>
      </x:c>
      <x:c r="H479" s="16">
        <x:v>107</x:v>
      </x:c>
      <x:c r="I479" s="16">
        <x:v>2</x:v>
      </x:c>
      <x:c r="J479" s="15" t="inlineStr">
        <x:is>
          <x:t xml:space="preserve">20/156</x:t>
        </x:is>
      </x:c>
      <x:c r="K479" s="1"/>
      <x:c r="L479" s="1"/>
    </x:row>
    <x:row r="480" ht="22" customHeight="1">
      <x:c r="A480" s="92" t="n">
        <x:v>45365</x:v>
      </x:c>
      <x:c r="B480" s="21" t="n">
        <x:v>2024</x:v>
      </x:c>
      <x:c r="C480" s="14">
        <x:v>6170</x:v>
      </x:c>
      <x:c r="D480" s="14">
        <x:v>99</x:v>
      </x:c>
      <x:c r="E480" s="14">
        <x:v>21</x:v>
      </x:c>
      <x:c r="F480" s="14">
        <x:v>35</x:v>
      </x:c>
      <x:c r="G480" s="14">
        <x:v>1</x:v>
      </x:c>
      <x:c r="H480" s="14">
        <x:v>178</x:v>
      </x:c>
      <x:c r="I480" s="14">
        <x:v>31</x:v>
      </x:c>
      <x:c r="J480" s="13" t="inlineStr">
        <x:is>
          <x:t xml:space="preserve">20/157</x:t>
        </x:is>
      </x:c>
      <x:c r="K480" s="1"/>
      <x:c r="L480" s="1"/>
    </x:row>
    <x:row r="481" ht="22" customHeight="1">
      <x:c r="A481" s="93" t="n">
        <x:v>45366</x:v>
      </x:c>
      <x:c r="B481" s="24" t="n">
        <x:v>2024</x:v>
      </x:c>
      <x:c r="C481" s="16">
        <x:v>2085</x:v>
      </x:c>
      <x:c r="D481" s="16">
        <x:v>13</x:v>
      </x:c>
      <x:c r="E481" s="16">
        <x:v>0</x:v>
      </x:c>
      <x:c r="F481" s="16">
        <x:v>0</x:v>
      </x:c>
      <x:c r="G481" s="16">
        <x:v>1</x:v>
      </x:c>
      <x:c r="H481" s="16">
        <x:v>60</x:v>
      </x:c>
      <x:c r="I481" s="16">
        <x:v>1</x:v>
      </x:c>
      <x:c r="J481" s="15" t="inlineStr">
        <x:is>
          <x:t xml:space="preserve">20/158</x:t>
        </x:is>
      </x:c>
      <x:c r="K481" s="1"/>
      <x:c r="L481" s="1"/>
    </x:row>
    <x:row r="482" ht="22" customHeight="1">
      <x:c r="A482" s="92" t="n">
        <x:v>45371</x:v>
      </x:c>
      <x:c r="B482" s="21" t="n">
        <x:v>2024</x:v>
      </x:c>
      <x:c r="C482" s="14">
        <x:v>3153</x:v>
      </x:c>
      <x:c r="D482" s="14">
        <x:v>280</x:v>
      </x:c>
      <x:c r="E482" s="14">
        <x:v>25</x:v>
      </x:c>
      <x:c r="F482" s="14">
        <x:v>134</x:v>
      </x:c>
      <x:c r="G482" s="14">
        <x:v>4</x:v>
      </x:c>
      <x:c r="H482" s="14">
        <x:v>179</x:v>
      </x:c>
      <x:c r="I482" s="14">
        <x:v>38</x:v>
      </x:c>
      <x:c r="J482" s="13" t="inlineStr">
        <x:is>
          <x:t xml:space="preserve">20/159</x:t>
        </x:is>
      </x:c>
      <x:c r="K482" s="1"/>
      <x:c r="L482" s="1"/>
    </x:row>
    <x:row r="483" ht="22" customHeight="1">
      <x:c r="A483" s="93" t="n">
        <x:v>45372</x:v>
      </x:c>
      <x:c r="B483" s="24" t="n">
        <x:v>2024</x:v>
      </x:c>
      <x:c r="C483" s="16">
        <x:v>6324</x:v>
      </x:c>
      <x:c r="D483" s="16">
        <x:v>11</x:v>
      </x:c>
      <x:c r="E483" s="16">
        <x:v>1</x:v>
      </x:c>
      <x:c r="F483" s="16">
        <x:v>2</x:v>
      </x:c>
      <x:c r="G483" s="16">
        <x:v>6</x:v>
      </x:c>
      <x:c r="H483" s="16">
        <x:v>193</x:v>
      </x:c>
      <x:c r="I483" s="16">
        <x:v>9</x:v>
      </x:c>
      <x:c r="J483" s="15" t="inlineStr">
        <x:is>
          <x:t xml:space="preserve">20/160</x:t>
        </x:is>
      </x:c>
      <x:c r="K483" s="1"/>
      <x:c r="L483" s="1"/>
    </x:row>
    <x:row r="484" ht="22" customHeight="1">
      <x:c r="A484" s="92" t="n">
        <x:v>45373</x:v>
      </x:c>
      <x:c r="B484" s="21" t="n">
        <x:v>2024</x:v>
      </x:c>
      <x:c r="C484" s="14">
        <x:v>2768</x:v>
      </x:c>
      <x:c r="D484" s="14">
        <x:v>3</x:v>
      </x:c>
      <x:c r="E484" s="14">
        <x:v>0</x:v>
      </x:c>
      <x:c r="F484" s="14">
        <x:v>0</x:v>
      </x:c>
      <x:c r="G484" s="14">
        <x:v>0</x:v>
      </x:c>
      <x:c r="H484" s="14">
        <x:v>72</x:v>
      </x:c>
      <x:c r="I484" s="14">
        <x:v>3</x:v>
      </x:c>
      <x:c r="J484" s="13" t="inlineStr">
        <x:is>
          <x:t xml:space="preserve">20/161</x:t>
        </x:is>
      </x:c>
      <x:c r="K484" s="1"/>
      <x:c r="L484" s="1"/>
    </x:row>
    <x:row r="485" ht="22" customHeight="1">
      <x:c r="A485" s="93" t="n">
        <x:v>45392</x:v>
      </x:c>
      <x:c r="B485" s="24" t="n">
        <x:v>2024</x:v>
      </x:c>
      <x:c r="C485" s="16">
        <x:v>2714</x:v>
      </x:c>
      <x:c r="D485" s="16">
        <x:v>1</x:v>
      </x:c>
      <x:c r="E485" s="16">
        <x:v>0</x:v>
      </x:c>
      <x:c r="F485" s="16">
        <x:v>0</x:v>
      </x:c>
      <x:c r="G485" s="16">
        <x:v>0</x:v>
      </x:c>
      <x:c r="H485" s="16">
        <x:v>150</x:v>
      </x:c>
      <x:c r="I485" s="16">
        <x:v>1</x:v>
      </x:c>
      <x:c r="J485" s="15" t="inlineStr">
        <x:is>
          <x:t xml:space="preserve">20/162</x:t>
        </x:is>
      </x:c>
      <x:c r="K485" s="1"/>
      <x:c r="L485" s="1"/>
    </x:row>
    <x:row r="486" ht="22" customHeight="1">
      <x:c r="A486" s="92" t="n">
        <x:v>45393</x:v>
      </x:c>
      <x:c r="B486" s="21" t="n">
        <x:v>2024</x:v>
      </x:c>
      <x:c r="C486" s="14">
        <x:v>6106</x:v>
      </x:c>
      <x:c r="D486" s="14">
        <x:v>274</x:v>
      </x:c>
      <x:c r="E486" s="14">
        <x:v>47</x:v>
      </x:c>
      <x:c r="F486" s="14">
        <x:v>48</x:v>
      </x:c>
      <x:c r="G486" s="14">
        <x:v>4</x:v>
      </x:c>
      <x:c r="H486" s="14">
        <x:v>171</x:v>
      </x:c>
      <x:c r="I486" s="14">
        <x:v>34</x:v>
      </x:c>
      <x:c r="J486" s="13" t="inlineStr">
        <x:is>
          <x:t xml:space="preserve">20/163</x:t>
        </x:is>
      </x:c>
      <x:c r="K486" s="1"/>
      <x:c r="L486" s="1"/>
    </x:row>
    <x:row r="487" ht="22" customHeight="1">
      <x:c r="A487" s="93" t="n">
        <x:v>45394</x:v>
      </x:c>
      <x:c r="B487" s="24" t="n">
        <x:v>2024</x:v>
      </x:c>
      <x:c r="C487" s="16">
        <x:v>3985</x:v>
      </x:c>
      <x:c r="D487" s="16">
        <x:v>7</x:v>
      </x:c>
      <x:c r="E487" s="16">
        <x:v>0</x:v>
      </x:c>
      <x:c r="F487" s="16">
        <x:v>3</x:v>
      </x:c>
      <x:c r="G487" s="16">
        <x:v>0</x:v>
      </x:c>
      <x:c r="H487" s="16">
        <x:v>125</x:v>
      </x:c>
      <x:c r="I487" s="16">
        <x:v>7</x:v>
      </x:c>
      <x:c r="J487" s="15" t="inlineStr">
        <x:is>
          <x:t xml:space="preserve">20/164</x:t>
        </x:is>
      </x:c>
      <x:c r="K487" s="1"/>
      <x:c r="L487" s="1"/>
    </x:row>
    <x:row r="488" ht="22" customHeight="1">
      <x:c r="A488" s="92" t="n">
        <x:v>45406</x:v>
      </x:c>
      <x:c r="B488" s="21" t="n">
        <x:v>2024</x:v>
      </x:c>
      <x:c r="C488" s="14">
        <x:v>2848</x:v>
      </x:c>
      <x:c r="D488" s="14">
        <x:v>1</x:v>
      </x:c>
      <x:c r="E488" s="14">
        <x:v>0</x:v>
      </x:c>
      <x:c r="F488" s="14">
        <x:v>0</x:v>
      </x:c>
      <x:c r="G488" s="14">
        <x:v>0</x:v>
      </x:c>
      <x:c r="H488" s="14">
        <x:v>157</x:v>
      </x:c>
      <x:c r="I488" s="14">
        <x:v>1</x:v>
      </x:c>
      <x:c r="J488" s="13" t="inlineStr">
        <x:is>
          <x:t xml:space="preserve">20/165</x:t>
        </x:is>
      </x:c>
      <x:c r="K488" s="1"/>
      <x:c r="L488" s="1"/>
    </x:row>
    <x:row r="489" ht="22" customHeight="1">
      <x:c r="A489" s="93" t="n">
        <x:v>45407</x:v>
      </x:c>
      <x:c r="B489" s="24" t="n">
        <x:v>2024</x:v>
      </x:c>
      <x:c r="C489" s="16">
        <x:v>5864</x:v>
      </x:c>
      <x:c r="D489" s="16">
        <x:v>57</x:v>
      </x:c>
      <x:c r="E489" s="16">
        <x:v>2</x:v>
      </x:c>
      <x:c r="F489" s="16">
        <x:v>25</x:v>
      </x:c>
      <x:c r="G489" s="16">
        <x:v>5</x:v>
      </x:c>
      <x:c r="H489" s="16">
        <x:v>167</x:v>
      </x:c>
      <x:c r="I489" s="16">
        <x:v>15</x:v>
      </x:c>
      <x:c r="J489" s="15" t="inlineStr">
        <x:is>
          <x:t xml:space="preserve">20/166</x:t>
        </x:is>
      </x:c>
      <x:c r="K489" s="1"/>
      <x:c r="L489" s="1"/>
    </x:row>
    <x:row r="490" ht="22" customHeight="1">
      <x:c r="A490" s="92" t="n">
        <x:v>45408</x:v>
      </x:c>
      <x:c r="B490" s="21" t="n">
        <x:v>2024</x:v>
      </x:c>
      <x:c r="C490" s="14">
        <x:v>3340</x:v>
      </x:c>
      <x:c r="D490" s="14">
        <x:v>23</x:v>
      </x:c>
      <x:c r="E490" s="14">
        <x:v>11</x:v>
      </x:c>
      <x:c r="F490" s="14">
        <x:v>6</x:v>
      </x:c>
      <x:c r="G490" s="14">
        <x:v>0</x:v>
      </x:c>
      <x:c r="H490" s="14">
        <x:v>97</x:v>
      </x:c>
      <x:c r="I490" s="14">
        <x:v>12</x:v>
      </x:c>
      <x:c r="J490" s="13" t="inlineStr">
        <x:is>
          <x:t xml:space="preserve">20/167</x:t>
        </x:is>
      </x:c>
      <x:c r="K490" s="1"/>
      <x:c r="L490" s="1"/>
    </x:row>
    <x:row r="491" ht="22" customHeight="1">
      <x:c r="A491" s="93" t="n">
        <x:v>45427</x:v>
      </x:c>
      <x:c r="B491" s="24" t="n">
        <x:v>2024</x:v>
      </x:c>
      <x:c r="C491" s="16">
        <x:v>2856</x:v>
      </x:c>
      <x:c r="D491" s="16">
        <x:v>4</x:v>
      </x:c>
      <x:c r="E491" s="16">
        <x:v>1</x:v>
      </x:c>
      <x:c r="F491" s="16">
        <x:v>0</x:v>
      </x:c>
      <x:c r="G491" s="16">
        <x:v>1</x:v>
      </x:c>
      <x:c r="H491" s="16">
        <x:v>168</x:v>
      </x:c>
      <x:c r="I491" s="16">
        <x:v>4</x:v>
      </x:c>
      <x:c r="J491" s="15" t="inlineStr">
        <x:is>
          <x:t xml:space="preserve">20/168</x:t>
        </x:is>
      </x:c>
      <x:c r="K491" s="1"/>
      <x:c r="L491" s="1"/>
    </x:row>
    <x:row r="492" ht="22" customHeight="1">
      <x:c r="A492" s="92" t="n">
        <x:v>45428</x:v>
      </x:c>
      <x:c r="B492" s="21" t="n">
        <x:v>2024</x:v>
      </x:c>
      <x:c r="C492" s="14">
        <x:v>7626</x:v>
      </x:c>
      <x:c r="D492" s="14">
        <x:v>8</x:v>
      </x:c>
      <x:c r="E492" s="14">
        <x:v>0</x:v>
      </x:c>
      <x:c r="F492" s="14">
        <x:v>4</x:v>
      </x:c>
      <x:c r="G492" s="14">
        <x:v>0</x:v>
      </x:c>
      <x:c r="H492" s="14">
        <x:v>222</x:v>
      </x:c>
      <x:c r="I492" s="14">
        <x:v>7</x:v>
      </x:c>
      <x:c r="J492" s="13" t="inlineStr">
        <x:is>
          <x:t xml:space="preserve">20/169</x:t>
        </x:is>
      </x:c>
      <x:c r="K492" s="1"/>
      <x:c r="L492" s="1"/>
    </x:row>
    <x:row r="493" ht="22" customHeight="1">
      <x:c r="A493" s="93" t="n">
        <x:v>45429</x:v>
      </x:c>
      <x:c r="B493" s="24" t="n">
        <x:v>2024</x:v>
      </x:c>
      <x:c r="C493" s="16">
        <x:v>3255</x:v>
      </x:c>
      <x:c r="D493" s="16">
        <x:v>7</x:v>
      </x:c>
      <x:c r="E493" s="16">
        <x:v>0</x:v>
      </x:c>
      <x:c r="F493" s="16">
        <x:v>1</x:v>
      </x:c>
      <x:c r="G493" s="16">
        <x:v>0</x:v>
      </x:c>
      <x:c r="H493" s="16">
        <x:v>84</x:v>
      </x:c>
      <x:c r="I493" s="16">
        <x:v>6</x:v>
      </x:c>
      <x:c r="J493" s="15" t="inlineStr">
        <x:is>
          <x:t xml:space="preserve">20/170</x:t>
        </x:is>
      </x:c>
      <x:c r="K493" s="1"/>
      <x:c r="L493" s="1"/>
    </x:row>
    <x:row r="494" ht="22" customHeight="1">
      <x:c r="A494" s="92" t="n">
        <x:v>45448</x:v>
      </x:c>
      <x:c r="B494" s="21" t="n">
        <x:v>2024</x:v>
      </x:c>
      <x:c r="C494" s="14">
        <x:v>1948</x:v>
      </x:c>
      <x:c r="D494" s="14">
        <x:v>50</x:v>
      </x:c>
      <x:c r="E494" s="14">
        <x:v>3</x:v>
      </x:c>
      <x:c r="F494" s="14">
        <x:v>7</x:v>
      </x:c>
      <x:c r="G494" s="14">
        <x:v>0</x:v>
      </x:c>
      <x:c r="H494" s="14">
        <x:v>150</x:v>
      </x:c>
      <x:c r="I494" s="14">
        <x:v>10</x:v>
      </x:c>
      <x:c r="J494" s="13" t="inlineStr">
        <x:is>
          <x:t xml:space="preserve">20/171</x:t>
        </x:is>
      </x:c>
      <x:c r="K494" s="1"/>
      <x:c r="L494" s="1"/>
    </x:row>
    <x:row r="495" ht="22" customHeight="1">
      <x:c r="A495" s="93" t="n">
        <x:v>45449</x:v>
      </x:c>
      <x:c r="B495" s="24" t="n">
        <x:v>2024</x:v>
      </x:c>
      <x:c r="C495" s="16">
        <x:v>7002</x:v>
      </x:c>
      <x:c r="D495" s="16">
        <x:v>100</x:v>
      </x:c>
      <x:c r="E495" s="16">
        <x:v>46</x:v>
      </x:c>
      <x:c r="F495" s="16">
        <x:v>22</x:v>
      </x:c>
      <x:c r="G495" s="16">
        <x:v>0</x:v>
      </x:c>
      <x:c r="H495" s="16">
        <x:v>190</x:v>
      </x:c>
      <x:c r="I495" s="16">
        <x:v>16</x:v>
      </x:c>
      <x:c r="J495" s="15" t="inlineStr">
        <x:is>
          <x:t xml:space="preserve">20/172</x:t>
        </x:is>
      </x:c>
      <x:c r="K495" s="1"/>
      <x:c r="L495" s="1"/>
    </x:row>
    <x:row r="496" ht="22" customHeight="1">
      <x:c r="A496" s="92" t="n">
        <x:v>45450</x:v>
      </x:c>
      <x:c r="B496" s="21" t="n">
        <x:v>2024</x:v>
      </x:c>
      <x:c r="C496" s="14">
        <x:v>2672</x:v>
      </x:c>
      <x:c r="D496" s="14">
        <x:v>3</x:v>
      </x:c>
      <x:c r="E496" s="14">
        <x:v>0</x:v>
      </x:c>
      <x:c r="F496" s="14">
        <x:v>2</x:v>
      </x:c>
      <x:c r="G496" s="14">
        <x:v>0</x:v>
      </x:c>
      <x:c r="H496" s="14">
        <x:v>70</x:v>
      </x:c>
      <x:c r="I496" s="14">
        <x:v>3</x:v>
      </x:c>
      <x:c r="J496" s="13" t="inlineStr">
        <x:is>
          <x:t xml:space="preserve">20/173</x:t>
        </x:is>
      </x:c>
      <x:c r="K496" s="1"/>
      <x:c r="L496" s="1"/>
    </x:row>
    <x:row r="497" ht="22" customHeight="1">
      <x:c r="A497" s="93" t="n">
        <x:v>45455</x:v>
      </x:c>
      <x:c r="B497" s="24" t="n">
        <x:v>2024</x:v>
      </x:c>
      <x:c r="C497" s="16">
        <x:v>2831</x:v>
      </x:c>
      <x:c r="D497" s="16">
        <x:v>132</x:v>
      </x:c>
      <x:c r="E497" s="16">
        <x:v>38</x:v>
      </x:c>
      <x:c r="F497" s="16">
        <x:v>40</x:v>
      </x:c>
      <x:c r="G497" s="16">
        <x:v>0</x:v>
      </x:c>
      <x:c r="H497" s="16">
        <x:v>176</x:v>
      </x:c>
      <x:c r="I497" s="16">
        <x:v>56</x:v>
      </x:c>
      <x:c r="J497" s="15" t="inlineStr">
        <x:is>
          <x:t xml:space="preserve">20/174</x:t>
        </x:is>
      </x:c>
      <x:c r="K497" s="1"/>
      <x:c r="L497" s="1"/>
    </x:row>
    <x:row r="498" ht="22" customHeight="1">
      <x:c r="A498" s="92" t="n">
        <x:v>45456</x:v>
      </x:c>
      <x:c r="B498" s="21" t="n">
        <x:v>2024</x:v>
      </x:c>
      <x:c r="C498" s="14">
        <x:v>5498</x:v>
      </x:c>
      <x:c r="D498" s="14">
        <x:v>13</x:v>
      </x:c>
      <x:c r="E498" s="14">
        <x:v>5</x:v>
      </x:c>
      <x:c r="F498" s="14">
        <x:v>2</x:v>
      </x:c>
      <x:c r="G498" s="14">
        <x:v>0</x:v>
      </x:c>
      <x:c r="H498" s="14">
        <x:v>143</x:v>
      </x:c>
      <x:c r="I498" s="14">
        <x:v>9</x:v>
      </x:c>
      <x:c r="J498" s="13" t="inlineStr">
        <x:is>
          <x:t xml:space="preserve">20/175</x:t>
        </x:is>
      </x:c>
      <x:c r="K498" s="1"/>
      <x:c r="L498" s="1"/>
    </x:row>
    <x:row r="499" ht="22" customHeight="1">
      <x:c r="A499" s="93" t="n">
        <x:v>45457</x:v>
      </x:c>
      <x:c r="B499" s="24" t="n">
        <x:v>2024</x:v>
      </x:c>
      <x:c r="C499" s="16">
        <x:v>3516</x:v>
      </x:c>
      <x:c r="D499" s="16">
        <x:v>3</x:v>
      </x:c>
      <x:c r="E499" s="16">
        <x:v>0</x:v>
      </x:c>
      <x:c r="F499" s="16">
        <x:v>0</x:v>
      </x:c>
      <x:c r="G499" s="16">
        <x:v>0</x:v>
      </x:c>
      <x:c r="H499" s="16">
        <x:v>95</x:v>
      </x:c>
      <x:c r="I499" s="16">
        <x:v>3</x:v>
      </x:c>
      <x:c r="J499" s="15" t="inlineStr">
        <x:is>
          <x:t xml:space="preserve">20/176</x:t>
        </x:is>
      </x:c>
      <x:c r="K499" s="1"/>
      <x:c r="L499" s="1"/>
    </x:row>
    <x:row r="500" ht="22" customHeight="1">
      <x:c r="A500" s="92" t="n">
        <x:v>45469</x:v>
      </x:c>
      <x:c r="B500" s="21" t="n">
        <x:v>2024</x:v>
      </x:c>
      <x:c r="C500" s="14">
        <x:v>3354</x:v>
      </x:c>
      <x:c r="D500" s="14">
        <x:v>104</x:v>
      </x:c>
      <x:c r="E500" s="14">
        <x:v>4</x:v>
      </x:c>
      <x:c r="F500" s="14">
        <x:v>47</x:v>
      </x:c>
      <x:c r="G500" s="14">
        <x:v>7</x:v>
      </x:c>
      <x:c r="H500" s="14">
        <x:v>191</x:v>
      </x:c>
      <x:c r="I500" s="14">
        <x:v>13</x:v>
      </x:c>
      <x:c r="J500" s="13" t="inlineStr">
        <x:is>
          <x:t xml:space="preserve">20/177</x:t>
        </x:is>
      </x:c>
      <x:c r="K500" s="1"/>
      <x:c r="L500" s="1"/>
    </x:row>
    <x:row r="501" ht="22" customHeight="1">
      <x:c r="A501" s="93" t="n">
        <x:v>45470</x:v>
      </x:c>
      <x:c r="B501" s="24" t="n">
        <x:v>2024</x:v>
      </x:c>
      <x:c r="C501" s="16">
        <x:v>5625</x:v>
      </x:c>
      <x:c r="D501" s="16">
        <x:v>146</x:v>
      </x:c>
      <x:c r="E501" s="16">
        <x:v>35</x:v>
      </x:c>
      <x:c r="F501" s="16">
        <x:v>44</x:v>
      </x:c>
      <x:c r="G501" s="16">
        <x:v>3</x:v>
      </x:c>
      <x:c r="H501" s="16">
        <x:v>144</x:v>
      </x:c>
      <x:c r="I501" s="16">
        <x:v>13</x:v>
      </x:c>
      <x:c r="J501" s="15" t="inlineStr">
        <x:is>
          <x:t xml:space="preserve">20/178</x:t>
        </x:is>
      </x:c>
      <x:c r="K501" s="1"/>
      <x:c r="L501" s="1"/>
    </x:row>
    <x:row r="502" ht="22" customHeight="1">
      <x:c r="A502" s="92" t="n">
        <x:v>45471</x:v>
      </x:c>
      <x:c r="B502" s="21" t="n">
        <x:v>2024</x:v>
      </x:c>
      <x:c r="C502" s="14">
        <x:v>3304</x:v>
      </x:c>
      <x:c r="D502" s="14">
        <x:v>90</x:v>
      </x:c>
      <x:c r="E502" s="14">
        <x:v>18</x:v>
      </x:c>
      <x:c r="F502" s="14">
        <x:v>27</x:v>
      </x:c>
      <x:c r="G502" s="14">
        <x:v>0</x:v>
      </x:c>
      <x:c r="H502" s="14">
        <x:v>80</x:v>
      </x:c>
      <x:c r="I502" s="14">
        <x:v>8</x:v>
      </x:c>
      <x:c r="J502" s="13" t="inlineStr">
        <x:is>
          <x:t xml:space="preserve">20/179</x:t>
        </x:is>
      </x:c>
      <x:c r="K502" s="1"/>
      <x:c r="L502" s="1"/>
    </x:row>
    <x:row r="503" ht="22" customHeight="1">
      <x:c r="A503" s="93" t="n">
        <x:v>45476</x:v>
      </x:c>
      <x:c r="B503" s="24" t="n">
        <x:v>2024</x:v>
      </x:c>
      <x:c r="C503" s="16">
        <x:v>2493</x:v>
      </x:c>
      <x:c r="D503" s="16">
        <x:v>2</x:v>
      </x:c>
      <x:c r="E503" s="16">
        <x:v>0</x:v>
      </x:c>
      <x:c r="F503" s="16">
        <x:v>0</x:v>
      </x:c>
      <x:c r="G503" s="16">
        <x:v>0</x:v>
      </x:c>
      <x:c r="H503" s="16">
        <x:v>134</x:v>
      </x:c>
      <x:c r="I503" s="16">
        <x:v>2</x:v>
      </x:c>
      <x:c r="J503" s="15" t="inlineStr">
        <x:is>
          <x:t xml:space="preserve">20/180</x:t>
        </x:is>
      </x:c>
      <x:c r="K503" s="1"/>
      <x:c r="L503" s="1"/>
    </x:row>
    <x:row r="504" ht="22" customHeight="1">
      <x:c r="A504" s="92" t="n">
        <x:v>45477</x:v>
      </x:c>
      <x:c r="B504" s="21" t="n">
        <x:v>2024</x:v>
      </x:c>
      <x:c r="C504" s="14">
        <x:v>6315</x:v>
      </x:c>
      <x:c r="D504" s="14">
        <x:v>6</x:v>
      </x:c>
      <x:c r="E504" s="14">
        <x:v>0</x:v>
      </x:c>
      <x:c r="F504" s="14">
        <x:v>0</x:v>
      </x:c>
      <x:c r="G504" s="14">
        <x:v>0</x:v>
      </x:c>
      <x:c r="H504" s="14">
        <x:v>189</x:v>
      </x:c>
      <x:c r="I504" s="14">
        <x:v>2</x:v>
      </x:c>
      <x:c r="J504" s="13" t="inlineStr">
        <x:is>
          <x:t xml:space="preserve">20/181</x:t>
        </x:is>
      </x:c>
      <x:c r="K504" s="1"/>
      <x:c r="L504" s="1"/>
    </x:row>
    <x:row r="505" ht="22" customHeight="1">
      <x:c r="A505" s="93" t="n">
        <x:v>45478</x:v>
      </x:c>
      <x:c r="B505" s="24" t="n">
        <x:v>2024</x:v>
      </x:c>
      <x:c r="C505" s="16">
        <x:v>3411</x:v>
      </x:c>
      <x:c r="D505" s="16">
        <x:v>244</x:v>
      </x:c>
      <x:c r="E505" s="16">
        <x:v>48</x:v>
      </x:c>
      <x:c r="F505" s="16">
        <x:v>74</x:v>
      </x:c>
      <x:c r="G505" s="16">
        <x:v>5</x:v>
      </x:c>
      <x:c r="H505" s="16">
        <x:v>93</x:v>
      </x:c>
      <x:c r="I505" s="16">
        <x:v>20</x:v>
      </x:c>
      <x:c r="J505" s="15" t="inlineStr">
        <x:is>
          <x:t xml:space="preserve">20/182</x:t>
        </x:is>
      </x:c>
      <x:c r="K505" s="1"/>
      <x:c r="L505" s="1"/>
    </x:row>
    <x:row r="506" ht="22" customHeight="1">
      <x:c r="A506" s="92" t="n">
        <x:v>45545</x:v>
      </x:c>
      <x:c r="B506" s="21" t="n">
        <x:v>2024</x:v>
      </x:c>
      <x:c r="C506" s="14">
        <x:v>3734</x:v>
      </x:c>
      <x:c r="D506" s="14">
        <x:v>277</x:v>
      </x:c>
      <x:c r="E506" s="14">
        <x:v>68</x:v>
      </x:c>
      <x:c r="F506" s="14">
        <x:v>76</x:v>
      </x:c>
      <x:c r="G506" s="14">
        <x:v>8</x:v>
      </x:c>
      <x:c r="H506" s="14">
        <x:v>76</x:v>
      </x:c>
      <x:c r="I506" s="14">
        <x:v>24</x:v>
      </x:c>
      <x:c r="J506" s="13" t="inlineStr">
        <x:is>
          <x:t xml:space="preserve">20/183</x:t>
        </x:is>
      </x:c>
      <x:c r="K506" s="1"/>
      <x:c r="L506" s="1"/>
    </x:row>
    <x:row r="507" ht="22" customHeight="1">
      <x:c r="A507" s="93" t="n">
        <x:v>45546</x:v>
      </x:c>
      <x:c r="B507" s="24" t="n">
        <x:v>2024</x:v>
      </x:c>
      <x:c r="C507" s="16">
        <x:v>4214</x:v>
      </x:c>
      <x:c r="D507" s="16">
        <x:v>2</x:v>
      </x:c>
      <x:c r="E507" s="16">
        <x:v>0</x:v>
      </x:c>
      <x:c r="F507" s="16">
        <x:v>0</x:v>
      </x:c>
      <x:c r="G507" s="16">
        <x:v>0</x:v>
      </x:c>
      <x:c r="H507" s="16">
        <x:v>89</x:v>
      </x:c>
      <x:c r="I507" s="16">
        <x:v>2</x:v>
      </x:c>
      <x:c r="J507" s="15" t="inlineStr">
        <x:is>
          <x:t xml:space="preserve">20/184</x:t>
        </x:is>
      </x:c>
      <x:c r="K507" s="1"/>
      <x:c r="L507" s="1"/>
    </x:row>
    <x:row r="508" ht="22" customHeight="1">
      <x:c r="A508" s="92" t="n">
        <x:v>45547</x:v>
      </x:c>
      <x:c r="B508" s="21" t="n">
        <x:v>2024</x:v>
      </x:c>
      <x:c r="C508" s="14">
        <x:v>5634</x:v>
      </x:c>
      <x:c r="D508" s="14">
        <x:v>15</x:v>
      </x:c>
      <x:c r="E508" s="14">
        <x:v>3</x:v>
      </x:c>
      <x:c r="F508" s="14">
        <x:v>3</x:v>
      </x:c>
      <x:c r="G508" s="14">
        <x:v>0</x:v>
      </x:c>
      <x:c r="H508" s="14">
        <x:v>142</x:v>
      </x:c>
      <x:c r="I508" s="14">
        <x:v>12</x:v>
      </x:c>
      <x:c r="J508" s="13" t="inlineStr">
        <x:is>
          <x:t xml:space="preserve">20/185</x:t>
        </x:is>
      </x:c>
      <x:c r="K508" s="1"/>
      <x:c r="L508" s="1"/>
    </x:row>
    <x:row r="509" ht="22" customHeight="1">
      <x:c r="A509" s="93" t="n">
        <x:v>45548</x:v>
      </x:c>
      <x:c r="B509" s="24" t="n">
        <x:v>2024</x:v>
      </x:c>
      <x:c r="C509" s="16">
        <x:v>2601</x:v>
      </x:c>
      <x:c r="D509" s="16">
        <x:v>2</x:v>
      </x:c>
      <x:c r="E509" s="16">
        <x:v>0</x:v>
      </x:c>
      <x:c r="F509" s="16">
        <x:v>0</x:v>
      </x:c>
      <x:c r="G509" s="16">
        <x:v>0</x:v>
      </x:c>
      <x:c r="H509" s="16">
        <x:v>61</x:v>
      </x:c>
      <x:c r="I509" s="16">
        <x:v>2</x:v>
      </x:c>
      <x:c r="J509" s="15" t="inlineStr">
        <x:is>
          <x:t xml:space="preserve">20/186</x:t>
        </x:is>
      </x:c>
      <x:c r="K509" s="1"/>
      <x:c r="L509" s="1"/>
    </x:row>
    <x:row r="510" ht="22" customHeight="1">
      <x:c r="A510" s="92" t="n">
        <x:v>45560</x:v>
      </x:c>
      <x:c r="B510" s="21" t="n">
        <x:v>2024</x:v>
      </x:c>
      <x:c r="C510" s="14">
        <x:v>2650</x:v>
      </x:c>
      <x:c r="D510" s="14">
        <x:v>10</x:v>
      </x:c>
      <x:c r="E510" s="14">
        <x:v>1</x:v>
      </x:c>
      <x:c r="F510" s="14">
        <x:v>4</x:v>
      </x:c>
      <x:c r="G510" s="14">
        <x:v>0</x:v>
      </x:c>
      <x:c r="H510" s="14">
        <x:v>151</x:v>
      </x:c>
      <x:c r="I510" s="14">
        <x:v>4</x:v>
      </x:c>
      <x:c r="J510" s="13" t="inlineStr">
        <x:is>
          <x:t xml:space="preserve">20/187</x:t>
        </x:is>
      </x:c>
      <x:c r="K510" s="1"/>
      <x:c r="L510" s="1"/>
    </x:row>
    <x:row r="511" ht="22" customHeight="1">
      <x:c r="A511" s="93" t="n">
        <x:v>45561</x:v>
      </x:c>
      <x:c r="B511" s="24" t="n">
        <x:v>2024</x:v>
      </x:c>
      <x:c r="C511" s="16">
        <x:v>8061</x:v>
      </x:c>
      <x:c r="D511" s="16">
        <x:v>101</x:v>
      </x:c>
      <x:c r="E511" s="16">
        <x:v>31</x:v>
      </x:c>
      <x:c r="F511" s="16">
        <x:v>18</x:v>
      </x:c>
      <x:c r="G511" s="16">
        <x:v>0</x:v>
      </x:c>
      <x:c r="H511" s="16">
        <x:v>236</x:v>
      </x:c>
      <x:c r="I511" s="16">
        <x:v>25</x:v>
      </x:c>
      <x:c r="J511" s="15" t="inlineStr">
        <x:is>
          <x:t xml:space="preserve">20/188</x:t>
        </x:is>
      </x:c>
      <x:c r="K511" s="1"/>
      <x:c r="L511" s="1"/>
    </x:row>
    <x:row r="512" ht="22" customHeight="1">
      <x:c r="A512" s="92" t="n">
        <x:v>45562</x:v>
      </x:c>
      <x:c r="B512" s="21" t="n">
        <x:v>2024</x:v>
      </x:c>
      <x:c r="C512" s="14">
        <x:v>3282</x:v>
      </x:c>
      <x:c r="D512" s="14">
        <x:v>11</x:v>
      </x:c>
      <x:c r="E512" s="14">
        <x:v>1</x:v>
      </x:c>
      <x:c r="F512" s="14">
        <x:v>1</x:v>
      </x:c>
      <x:c r="G512" s="14">
        <x:v>0</x:v>
      </x:c>
      <x:c r="H512" s="14">
        <x:v>90</x:v>
      </x:c>
      <x:c r="I512" s="14">
        <x:v>5</x:v>
      </x:c>
      <x:c r="J512" s="13" t="inlineStr">
        <x:is>
          <x:t xml:space="preserve">20/189</x:t>
        </x:is>
      </x:c>
      <x:c r="K512" s="1"/>
      <x:c r="L512" s="1"/>
    </x:row>
    <x:row r="513" ht="22" customHeight="1">
      <x:c r="A513" s="93" t="n">
        <x:v>45574</x:v>
      </x:c>
      <x:c r="B513" s="24" t="n">
        <x:v>2024</x:v>
      </x:c>
      <x:c r="C513" s="16">
        <x:v>2996</x:v>
      </x:c>
      <x:c r="D513" s="16">
        <x:v>2</x:v>
      </x:c>
      <x:c r="E513" s="16">
        <x:v>0</x:v>
      </x:c>
      <x:c r="F513" s="16">
        <x:v>1</x:v>
      </x:c>
      <x:c r="G513" s="16">
        <x:v>0</x:v>
      </x:c>
      <x:c r="H513" s="16">
        <x:v>182</x:v>
      </x:c>
      <x:c r="I513" s="16">
        <x:v>2</x:v>
      </x:c>
      <x:c r="J513" s="15" t="inlineStr">
        <x:is>
          <x:t xml:space="preserve">20/190</x:t>
        </x:is>
      </x:c>
      <x:c r="K513" s="1"/>
      <x:c r="L513" s="1"/>
    </x:row>
    <x:row r="514" ht="22" customHeight="1">
      <x:c r="A514" s="92" t="n">
        <x:v>45575</x:v>
      </x:c>
      <x:c r="B514" s="21" t="n">
        <x:v>2024</x:v>
      </x:c>
      <x:c r="C514" s="14">
        <x:v>5463</x:v>
      </x:c>
      <x:c r="D514" s="14">
        <x:v>7</x:v>
      </x:c>
      <x:c r="E514" s="14">
        <x:v>0</x:v>
      </x:c>
      <x:c r="F514" s="14">
        <x:v>2</x:v>
      </x:c>
      <x:c r="G514" s="14">
        <x:v>0</x:v>
      </x:c>
      <x:c r="H514" s="14">
        <x:v>154</x:v>
      </x:c>
      <x:c r="I514" s="14">
        <x:v>5</x:v>
      </x:c>
      <x:c r="J514" s="13" t="inlineStr">
        <x:is>
          <x:t xml:space="preserve">20/191</x:t>
        </x:is>
      </x:c>
      <x:c r="K514" s="1"/>
      <x:c r="L514" s="1"/>
    </x:row>
    <x:row r="515" ht="22" customHeight="1">
      <x:c r="A515" s="93" t="n">
        <x:v>45576</x:v>
      </x:c>
      <x:c r="B515" s="24" t="n">
        <x:v>2024</x:v>
      </x:c>
      <x:c r="C515" s="16">
        <x:v>2513</x:v>
      </x:c>
      <x:c r="D515" s="16">
        <x:v>5</x:v>
      </x:c>
      <x:c r="E515" s="16">
        <x:v>1</x:v>
      </x:c>
      <x:c r="F515" s="16">
        <x:v>0</x:v>
      </x:c>
      <x:c r="G515" s="16">
        <x:v>1</x:v>
      </x:c>
      <x:c r="H515" s="16">
        <x:v>64</x:v>
      </x:c>
      <x:c r="I515" s="16">
        <x:v>4</x:v>
      </x:c>
      <x:c r="J515" s="15" t="inlineStr">
        <x:is>
          <x:t xml:space="preserve">20/192</x:t>
        </x:is>
      </x:c>
      <x:c r="K515" s="1"/>
      <x:c r="L515" s="1"/>
    </x:row>
    <x:row r="516" ht="22" customHeight="1">
      <x:c r="A516" s="92" t="n">
        <x:v>45581</x:v>
      </x:c>
      <x:c r="B516" s="21" t="n">
        <x:v>2024</x:v>
      </x:c>
      <x:c r="C516" s="14">
        <x:v>3342</x:v>
      </x:c>
      <x:c r="D516" s="14">
        <x:v>4</x:v>
      </x:c>
      <x:c r="E516" s="14">
        <x:v>0</x:v>
      </x:c>
      <x:c r="F516" s="14">
        <x:v>1</x:v>
      </x:c>
      <x:c r="G516" s="14">
        <x:v>0</x:v>
      </x:c>
      <x:c r="H516" s="14">
        <x:v>165</x:v>
      </x:c>
      <x:c r="I516" s="14">
        <x:v>4</x:v>
      </x:c>
      <x:c r="J516" s="13" t="inlineStr">
        <x:is>
          <x:t xml:space="preserve">20/193</x:t>
        </x:is>
      </x:c>
      <x:c r="K516" s="1"/>
      <x:c r="L516" s="1"/>
    </x:row>
    <x:row r="517" ht="22" customHeight="1">
      <x:c r="A517" s="93" t="n">
        <x:v>45582</x:v>
      </x:c>
      <x:c r="B517" s="24" t="n">
        <x:v>2024</x:v>
      </x:c>
      <x:c r="C517" s="16">
        <x:v>5735</x:v>
      </x:c>
      <x:c r="D517" s="16">
        <x:v>36</x:v>
      </x:c>
      <x:c r="E517" s="16">
        <x:v>3</x:v>
      </x:c>
      <x:c r="F517" s="16">
        <x:v>10</x:v>
      </x:c>
      <x:c r="G517" s="16">
        <x:v>0</x:v>
      </x:c>
      <x:c r="H517" s="16">
        <x:v>174</x:v>
      </x:c>
      <x:c r="I517" s="16">
        <x:v>14</x:v>
      </x:c>
      <x:c r="J517" s="15" t="inlineStr">
        <x:is>
          <x:t xml:space="preserve">20/194</x:t>
        </x:is>
      </x:c>
      <x:c r="K517" s="1"/>
      <x:c r="L517" s="1"/>
    </x:row>
    <x:row r="518" ht="22" customHeight="1">
      <x:c r="A518" s="92" t="n">
        <x:v>45583</x:v>
      </x:c>
      <x:c r="B518" s="21" t="n">
        <x:v>2024</x:v>
      </x:c>
      <x:c r="C518" s="14">
        <x:v>4119</x:v>
      </x:c>
      <x:c r="D518" s="14">
        <x:v>12</x:v>
      </x:c>
      <x:c r="E518" s="14">
        <x:v>0</x:v>
      </x:c>
      <x:c r="F518" s="14">
        <x:v>7</x:v>
      </x:c>
      <x:c r="G518" s="14">
        <x:v>0</x:v>
      </x:c>
      <x:c r="H518" s="14">
        <x:v>133</x:v>
      </x:c>
      <x:c r="I518" s="14">
        <x:v>6</x:v>
      </x:c>
      <x:c r="J518" s="13" t="inlineStr">
        <x:is>
          <x:t xml:space="preserve">20/195</x:t>
        </x:is>
      </x:c>
      <x:c r="K518" s="1"/>
      <x:c r="L518" s="1"/>
    </x:row>
    <x:row r="519" ht="22" customHeight="1">
      <x:c r="A519" s="93" t="n">
        <x:v>45602</x:v>
      </x:c>
      <x:c r="B519" s="24" t="n">
        <x:v>2024</x:v>
      </x:c>
      <x:c r="C519" s="16">
        <x:v>2503</x:v>
      </x:c>
      <x:c r="D519" s="16">
        <x:v>6</x:v>
      </x:c>
      <x:c r="E519" s="16">
        <x:v>1</x:v>
      </x:c>
      <x:c r="F519" s="16">
        <x:v>1</x:v>
      </x:c>
      <x:c r="G519" s="16">
        <x:v>1</x:v>
      </x:c>
      <x:c r="H519" s="16">
        <x:v>148</x:v>
      </x:c>
      <x:c r="I519" s="16">
        <x:v>6</x:v>
      </x:c>
      <x:c r="J519" s="15" t="inlineStr">
        <x:is>
          <x:t xml:space="preserve">20/196</x:t>
        </x:is>
      </x:c>
      <x:c r="K519" s="1"/>
      <x:c r="L519" s="1"/>
    </x:row>
    <x:row r="520" ht="22" customHeight="1">
      <x:c r="A520" s="92" t="n">
        <x:v>45603</x:v>
      </x:c>
      <x:c r="B520" s="21" t="n">
        <x:v>2024</x:v>
      </x:c>
      <x:c r="C520" s="14">
        <x:v>1595</x:v>
      </x:c>
      <x:c r="D520" s="14">
        <x:v>0</x:v>
      </x:c>
      <x:c r="E520" s="14">
        <x:v>0</x:v>
      </x:c>
      <x:c r="F520" s="14">
        <x:v>0</x:v>
      </x:c>
      <x:c r="G520" s="14">
        <x:v>0</x:v>
      </x:c>
      <x:c r="H520" s="14">
        <x:v>49</x:v>
      </x:c>
      <x:c r="I520" s="14">
        <x:v>0</x:v>
      </x:c>
      <x:c r="J520" s="13"/>
      <x:c r="K520" s="1"/>
      <x:c r="L520" s="1"/>
    </x:row>
    <x:row r="521" ht="22" customHeight="1">
      <x:c r="A521" s="93" t="n">
        <x:v>45604</x:v>
      </x:c>
      <x:c r="B521" s="24" t="n">
        <x:v>2024</x:v>
      </x:c>
      <x:c r="C521" s="16">
        <x:v>1374</x:v>
      </x:c>
      <x:c r="D521" s="16">
        <x:v>0</x:v>
      </x:c>
      <x:c r="E521" s="16">
        <x:v>0</x:v>
      </x:c>
      <x:c r="F521" s="16">
        <x:v>0</x:v>
      </x:c>
      <x:c r="G521" s="16">
        <x:v>0</x:v>
      </x:c>
      <x:c r="H521" s="16">
        <x:v>40</x:v>
      </x:c>
      <x:c r="I521" s="16">
        <x:v>0</x:v>
      </x:c>
      <x:c r="J521" s="15"/>
      <x:c r="K521" s="1"/>
      <x:c r="L521" s="1"/>
    </x:row>
    <x:row r="522" ht="22" customHeight="1">
      <x:c r="A522" s="92" t="n">
        <x:v>45609</x:v>
      </x:c>
      <x:c r="B522" s="21" t="n">
        <x:v>2024</x:v>
      </x:c>
      <x:c r="C522" s="14">
        <x:v>3255</x:v>
      </x:c>
      <x:c r="D522" s="14">
        <x:v>1</x:v>
      </x:c>
      <x:c r="E522" s="14">
        <x:v>0</x:v>
      </x:c>
      <x:c r="F522" s="14">
        <x:v>0</x:v>
      </x:c>
      <x:c r="G522" s="14">
        <x:v>0</x:v>
      </x:c>
      <x:c r="H522" s="14">
        <x:v>159</x:v>
      </x:c>
      <x:c r="I522" s="14">
        <x:v>1</x:v>
      </x:c>
      <x:c r="J522" s="13" t="inlineStr">
        <x:is>
          <x:t xml:space="preserve">20/199</x:t>
        </x:is>
      </x:c>
      <x:c r="K522" s="1"/>
      <x:c r="L522" s="1"/>
    </x:row>
    <x:row r="523" ht="22" customHeight="1">
      <x:c r="A523" s="93" t="n">
        <x:v>45610</x:v>
      </x:c>
      <x:c r="B523" s="24" t="n">
        <x:v>2024</x:v>
      </x:c>
      <x:c r="C523" s="16">
        <x:v>949</x:v>
      </x:c>
      <x:c r="D523" s="16">
        <x:v>54</x:v>
      </x:c>
      <x:c r="E523" s="16">
        <x:v>3</x:v>
      </x:c>
      <x:c r="F523" s="16">
        <x:v>14</x:v>
      </x:c>
      <x:c r="G523" s="16">
        <x:v>4</x:v>
      </x:c>
      <x:c r="H523" s="16">
        <x:v>24</x:v>
      </x:c>
      <x:c r="I523" s="16">
        <x:v>10</x:v>
      </x:c>
      <x:c r="J523" s="15" t="inlineStr">
        <x:is>
          <x:t xml:space="preserve">20/200</x:t>
        </x:is>
      </x:c>
      <x:c r="K523" s="1"/>
      <x:c r="L523" s="1"/>
    </x:row>
    <x:row r="524" ht="22" customHeight="1">
      <x:c r="A524" s="92" t="n">
        <x:v>45611</x:v>
      </x:c>
      <x:c r="B524" s="21" t="n">
        <x:v>2024</x:v>
      </x:c>
      <x:c r="C524" s="14">
        <x:v>816</x:v>
      </x:c>
      <x:c r="D524" s="14">
        <x:v>1</x:v>
      </x:c>
      <x:c r="E524" s="14">
        <x:v>0</x:v>
      </x:c>
      <x:c r="F524" s="14">
        <x:v>0</x:v>
      </x:c>
      <x:c r="G524" s="14">
        <x:v>0</x:v>
      </x:c>
      <x:c r="H524" s="14">
        <x:v>21</x:v>
      </x:c>
      <x:c r="I524" s="14">
        <x:v>1</x:v>
      </x:c>
      <x:c r="J524" s="13" t="inlineStr">
        <x:is>
          <x:t xml:space="preserve">20/201</x:t>
        </x:is>
      </x:c>
      <x:c r="K524" s="1"/>
      <x:c r="L524" s="1"/>
    </x:row>
    <x:row r="525" ht="22" customHeight="1">
      <x:c r="A525" s="93" t="n">
        <x:v>45630</x:v>
      </x:c>
      <x:c r="B525" s="24" t="n">
        <x:v>2024</x:v>
      </x:c>
      <x:c r="C525" s="16">
        <x:v>2676</x:v>
      </x:c>
      <x:c r="D525" s="16">
        <x:v>4</x:v>
      </x:c>
      <x:c r="E525" s="16">
        <x:v>0</x:v>
      </x:c>
      <x:c r="F525" s="16">
        <x:v>2</x:v>
      </x:c>
      <x:c r="G525" s="16">
        <x:v>0</x:v>
      </x:c>
      <x:c r="H525" s="16">
        <x:v>119</x:v>
      </x:c>
      <x:c r="I525" s="16">
        <x:v>1</x:v>
      </x:c>
      <x:c r="J525" s="15" t="inlineStr">
        <x:is>
          <x:t xml:space="preserve">20/202</x:t>
        </x:is>
      </x:c>
      <x:c r="K525" s="1"/>
      <x:c r="L525" s="1"/>
    </x:row>
    <x:row r="526" ht="22" customHeight="1">
      <x:c r="A526" s="92" t="n">
        <x:v>45631</x:v>
      </x:c>
      <x:c r="B526" s="21" t="n">
        <x:v>2024</x:v>
      </x:c>
      <x:c r="C526" s="14">
        <x:v>5770</x:v>
      </x:c>
      <x:c r="D526" s="14">
        <x:v>43</x:v>
      </x:c>
      <x:c r="E526" s="14">
        <x:v>8</x:v>
      </x:c>
      <x:c r="F526" s="14">
        <x:v>16</x:v>
      </x:c>
      <x:c r="G526" s="14">
        <x:v>1</x:v>
      </x:c>
      <x:c r="H526" s="14">
        <x:v>164</x:v>
      </x:c>
      <x:c r="I526" s="14">
        <x:v>14</x:v>
      </x:c>
      <x:c r="J526" s="13" t="inlineStr">
        <x:is>
          <x:t xml:space="preserve">20/203</x:t>
        </x:is>
      </x:c>
      <x:c r="K526" s="1"/>
      <x:c r="L526" s="1"/>
    </x:row>
    <x:row r="527" ht="22" customHeight="1">
      <x:c r="A527" s="93" t="n">
        <x:v>45632</x:v>
      </x:c>
      <x:c r="B527" s="24" t="n">
        <x:v>2024</x:v>
      </x:c>
      <x:c r="C527" s="16">
        <x:v>3807</x:v>
      </x:c>
      <x:c r="D527" s="16">
        <x:v>3</x:v>
      </x:c>
      <x:c r="E527" s="16">
        <x:v>0</x:v>
      </x:c>
      <x:c r="F527" s="16">
        <x:v>2</x:v>
      </x:c>
      <x:c r="G527" s="16">
        <x:v>0</x:v>
      </x:c>
      <x:c r="H527" s="16">
        <x:v>98</x:v>
      </x:c>
      <x:c r="I527" s="16">
        <x:v>3</x:v>
      </x:c>
      <x:c r="J527" s="15" t="inlineStr">
        <x:is>
          <x:t xml:space="preserve">20/204</x:t>
        </x:is>
      </x:c>
      <x:c r="K527" s="1"/>
      <x:c r="L527" s="1"/>
    </x:row>
    <x:row r="528" ht="22" customHeight="1">
      <x:c r="A528" s="92" t="n">
        <x:v>45642</x:v>
      </x:c>
      <x:c r="B528" s="21" t="n">
        <x:v>2024</x:v>
      </x:c>
      <x:c r="C528" s="14">
        <x:v>1305</x:v>
      </x:c>
      <x:c r="D528" s="14">
        <x:v>13</x:v>
      </x:c>
      <x:c r="E528" s="14">
        <x:v>0</x:v>
      </x:c>
      <x:c r="F528" s="14">
        <x:v>13</x:v>
      </x:c>
      <x:c r="G528" s="14">
        <x:v>0</x:v>
      </x:c>
      <x:c r="H528" s="14">
        <x:v>22</x:v>
      </x:c>
      <x:c r="I528" s="14">
        <x:v>8</x:v>
      </x:c>
      <x:c r="J528" s="13" t="inlineStr">
        <x:is>
          <x:t xml:space="preserve">20/205</x:t>
        </x:is>
      </x:c>
      <x:c r="K528" s="1"/>
      <x:c r="L528" s="1"/>
    </x:row>
    <x:row r="529" ht="22" customHeight="1">
      <x:c r="A529" s="93" t="n">
        <x:v>45644</x:v>
      </x:c>
      <x:c r="B529" s="24" t="n">
        <x:v>2024</x:v>
      </x:c>
      <x:c r="C529" s="16">
        <x:v>2854</x:v>
      </x:c>
      <x:c r="D529" s="16">
        <x:v>5</x:v>
      </x:c>
      <x:c r="E529" s="16">
        <x:v>0</x:v>
      </x:c>
      <x:c r="F529" s="16">
        <x:v>1</x:v>
      </x:c>
      <x:c r="G529" s="16">
        <x:v>0</x:v>
      </x:c>
      <x:c r="H529" s="16">
        <x:v>183</x:v>
      </x:c>
      <x:c r="I529" s="16">
        <x:v>5</x:v>
      </x:c>
      <x:c r="J529" s="15" t="inlineStr">
        <x:is>
          <x:t xml:space="preserve">20/206</x:t>
        </x:is>
      </x:c>
      <x:c r="K529" s="1"/>
      <x:c r="L529" s="1"/>
    </x:row>
    <x:row r="530" ht="22" customHeight="1">
      <x:c r="A530" s="92" t="n">
        <x:v>45645</x:v>
      </x:c>
      <x:c r="B530" s="21" t="n">
        <x:v>2024</x:v>
      </x:c>
      <x:c r="C530" s="14">
        <x:v>5424</x:v>
      </x:c>
      <x:c r="D530" s="14">
        <x:v>9</x:v>
      </x:c>
      <x:c r="E530" s="14">
        <x:v>2</x:v>
      </x:c>
      <x:c r="F530" s="14">
        <x:v>5</x:v>
      </x:c>
      <x:c r="G530" s="14">
        <x:v>2</x:v>
      </x:c>
      <x:c r="H530" s="14">
        <x:v>141</x:v>
      </x:c>
      <x:c r="I530" s="14">
        <x:v>6</x:v>
      </x:c>
      <x:c r="J530" s="13" t="inlineStr">
        <x:is>
          <x:t xml:space="preserve">20/207</x:t>
        </x:is>
      </x:c>
      <x:c r="K530" s="1"/>
      <x:c r="L530" s="1"/>
    </x:row>
    <x:row r="531" ht="22" customHeight="1">
      <x:c r="A531" s="93" t="n">
        <x:v>45646</x:v>
      </x:c>
      <x:c r="B531" s="24" t="n">
        <x:v>2024</x:v>
      </x:c>
      <x:c r="C531" s="16">
        <x:v>3699</x:v>
      </x:c>
      <x:c r="D531" s="16">
        <x:v>99</x:v>
      </x:c>
      <x:c r="E531" s="16">
        <x:v>26</x:v>
      </x:c>
      <x:c r="F531" s="16">
        <x:v>19</x:v>
      </x:c>
      <x:c r="G531" s="16">
        <x:v>4</x:v>
      </x:c>
      <x:c r="H531" s="16">
        <x:v>89</x:v>
      </x:c>
      <x:c r="I531" s="16">
        <x:v>11</x:v>
      </x:c>
      <x:c r="J531" s="15" t="inlineStr">
        <x:is>
          <x:t xml:space="preserve">20/208</x:t>
        </x:is>
      </x:c>
      <x:c r="K531" s="1"/>
      <x:c r="L531" s="1"/>
    </x:row>
    <x:row r="532" ht="22" customHeight="1">
      <x:c r="A532" s="92" t="n">
        <x:v>45686</x:v>
      </x:c>
      <x:c r="B532" s="21" t="n">
        <x:v>2025</x:v>
      </x:c>
      <x:c r="C532" s="14">
        <x:v>2442</x:v>
      </x:c>
      <x:c r="D532" s="14">
        <x:v>107</x:v>
      </x:c>
      <x:c r="E532" s="14">
        <x:v>24</x:v>
      </x:c>
      <x:c r="F532" s="14">
        <x:v>36</x:v>
      </x:c>
      <x:c r="G532" s="14">
        <x:v>5</x:v>
      </x:c>
      <x:c r="H532" s="14">
        <x:v>147</x:v>
      </x:c>
      <x:c r="I532" s="14">
        <x:v>43</x:v>
      </x:c>
      <x:c r="J532" s="13" t="inlineStr">
        <x:is>
          <x:t xml:space="preserve">20/209</x:t>
        </x:is>
      </x:c>
      <x:c r="K532" s="1"/>
      <x:c r="L532" s="1"/>
    </x:row>
    <x:row r="533" ht="22" customHeight="1">
      <x:c r="A533" s="93" t="n">
        <x:v>45687</x:v>
      </x:c>
      <x:c r="B533" s="24" t="n">
        <x:v>2025</x:v>
      </x:c>
      <x:c r="C533" s="16">
        <x:v>5695</x:v>
      </x:c>
      <x:c r="D533" s="16">
        <x:v>3</x:v>
      </x:c>
      <x:c r="E533" s="16">
        <x:v>0</x:v>
      </x:c>
      <x:c r="F533" s="16">
        <x:v>2</x:v>
      </x:c>
      <x:c r="G533" s="16">
        <x:v>0</x:v>
      </x:c>
      <x:c r="H533" s="16">
        <x:v>144</x:v>
      </x:c>
      <x:c r="I533" s="16">
        <x:v>3</x:v>
      </x:c>
      <x:c r="J533" s="15" t="inlineStr">
        <x:is>
          <x:t xml:space="preserve">20/210</x:t>
        </x:is>
      </x:c>
      <x:c r="K533" s="1"/>
      <x:c r="L533" s="1"/>
    </x:row>
    <x:row r="534" ht="22" customHeight="1">
      <x:c r="A534" s="92" t="n">
        <x:v>45688</x:v>
      </x:c>
      <x:c r="B534" s="21" t="n">
        <x:v>2025</x:v>
      </x:c>
      <x:c r="C534" s="14">
        <x:v>4296</x:v>
      </x:c>
      <x:c r="D534" s="14">
        <x:v>0</x:v>
      </x:c>
      <x:c r="E534" s="14">
        <x:v>0</x:v>
      </x:c>
      <x:c r="F534" s="14">
        <x:v>0</x:v>
      </x:c>
      <x:c r="G534" s="14">
        <x:v>0</x:v>
      </x:c>
      <x:c r="H534" s="14">
        <x:v>134</x:v>
      </x:c>
      <x:c r="I534" s="14">
        <x:v>0</x:v>
      </x:c>
      <x:c r="J534" s="13"/>
      <x:c r="K534" s="1"/>
      <x:c r="L534" s="1"/>
    </x:row>
    <x:row r="535" ht="22" customHeight="1">
      <x:c r="A535" s="93" t="n">
        <x:v>45699</x:v>
      </x:c>
      <x:c r="B535" s="24" t="n">
        <x:v>2025</x:v>
      </x:c>
      <x:c r="C535" s="16">
        <x:v>1611</x:v>
      </x:c>
      <x:c r="D535" s="16">
        <x:v>7</x:v>
      </x:c>
      <x:c r="E535" s="16">
        <x:v>0</x:v>
      </x:c>
      <x:c r="F535" s="16">
        <x:v>7</x:v>
      </x:c>
      <x:c r="G535" s="16">
        <x:v>0</x:v>
      </x:c>
      <x:c r="H535" s="16">
        <x:v>22</x:v>
      </x:c>
      <x:c r="I535" s="16">
        <x:v>5</x:v>
      </x:c>
      <x:c r="J535" s="15" t="inlineStr">
        <x:is>
          <x:t xml:space="preserve">20/212</x:t>
        </x:is>
      </x:c>
      <x:c r="K535" s="1"/>
      <x:c r="L535" s="1"/>
    </x:row>
    <x:row r="536" ht="22" customHeight="1">
      <x:c r="A536" s="92" t="n">
        <x:v>45729</x:v>
      </x:c>
      <x:c r="B536" s="21" t="n">
        <x:v>2025</x:v>
      </x:c>
      <x:c r="C536" s="14">
        <x:v>1680</x:v>
      </x:c>
      <x:c r="D536" s="14">
        <x:v>1</x:v>
      </x:c>
      <x:c r="E536" s="14">
        <x:v>0</x:v>
      </x:c>
      <x:c r="F536" s="14">
        <x:v>1</x:v>
      </x:c>
      <x:c r="G536" s="14">
        <x:v>0</x:v>
      </x:c>
      <x:c r="H536" s="14">
        <x:v>38</x:v>
      </x:c>
      <x:c r="I536" s="14">
        <x:v>1</x:v>
      </x:c>
      <x:c r="J536" s="13" t="inlineStr">
        <x:is>
          <x:t xml:space="preserve">20/213</x:t>
        </x:is>
      </x:c>
      <x:c r="K536" s="1"/>
      <x:c r="L536" s="1"/>
    </x:row>
    <x:row r="537" ht="22" customHeight="1">
      <x:c r="A537" s="93" t="n">
        <x:v>45734</x:v>
      </x:c>
      <x:c r="B537" s="24" t="n">
        <x:v>2025</x:v>
      </x:c>
      <x:c r="C537" s="16">
        <x:v>2982</x:v>
      </x:c>
      <x:c r="D537" s="16">
        <x:v>4</x:v>
      </x:c>
      <x:c r="E537" s="16">
        <x:v>0</x:v>
      </x:c>
      <x:c r="F537" s="16">
        <x:v>2</x:v>
      </x:c>
      <x:c r="G537" s="16">
        <x:v>1</x:v>
      </x:c>
      <x:c r="H537" s="16">
        <x:v>83</x:v>
      </x:c>
      <x:c r="I537" s="16">
        <x:v>4</x:v>
      </x:c>
      <x:c r="J537" s="15" t="inlineStr">
        <x:is>
          <x:t xml:space="preserve">20/214</x:t>
        </x:is>
      </x:c>
      <x:c r="K537" s="1"/>
      <x:c r="L537" s="1"/>
    </x:row>
    <x:row r="538" ht="22" customHeight="1">
      <x:c r="A538" s="92" t="n">
        <x:v>45741</x:v>
      </x:c>
      <x:c r="B538" s="21" t="n">
        <x:v>2025</x:v>
      </x:c>
      <x:c r="C538" s="14">
        <x:v>250</x:v>
      </x:c>
      <x:c r="D538" s="14">
        <x:v>0</x:v>
      </x:c>
      <x:c r="E538" s="14">
        <x:v>0</x:v>
      </x:c>
      <x:c r="F538" s="14">
        <x:v>0</x:v>
      </x:c>
      <x:c r="G538" s="14">
        <x:v>0</x:v>
      </x:c>
      <x:c r="H538" s="14">
        <x:v>17</x:v>
      </x:c>
      <x:c r="I538" s="14">
        <x:v>0</x:v>
      </x:c>
      <x:c r="J538" s="13"/>
      <x:c r="K538" s="1"/>
      <x:c r="L538" s="1"/>
    </x:row>
    <x:row r="539" ht="22" customHeight="1">
      <x:c r="A539" s="93" t="n">
        <x:v>45783</x:v>
      </x:c>
      <x:c r="B539" s="24" t="n">
        <x:v>2025</x:v>
      </x:c>
      <x:c r="C539" s="16">
        <x:v>131</x:v>
      </x:c>
      <x:c r="D539" s="16">
        <x:v>0</x:v>
      </x:c>
      <x:c r="E539" s="16">
        <x:v>0</x:v>
      </x:c>
      <x:c r="F539" s="16">
        <x:v>0</x:v>
      </x:c>
      <x:c r="G539" s="16">
        <x:v>0</x:v>
      </x:c>
      <x:c r="H539" s="16">
        <x:v>24</x:v>
      </x:c>
      <x:c r="I539" s="16">
        <x:v>0</x:v>
      </x:c>
      <x:c r="J539" s="15"/>
      <x:c r="K539" s="1"/>
      <x:c r="L539" s="1"/>
    </x:row>
    <x:row r="540" ht="22" customHeight="1">
      <x:c r="A540" s="92" t="n">
        <x:v>45791</x:v>
      </x:c>
      <x:c r="B540" s="21" t="n">
        <x:v>2025</x:v>
      </x:c>
      <x:c r="C540" s="14">
        <x:v>3695</x:v>
      </x:c>
      <x:c r="D540" s="14">
        <x:v>6</x:v>
      </x:c>
      <x:c r="E540" s="14">
        <x:v>2</x:v>
      </x:c>
      <x:c r="F540" s="14">
        <x:v>1</x:v>
      </x:c>
      <x:c r="G540" s="14">
        <x:v>2</x:v>
      </x:c>
      <x:c r="H540" s="14">
        <x:v>153</x:v>
      </x:c>
      <x:c r="I540" s="14">
        <x:v>4</x:v>
      </x:c>
      <x:c r="J540" s="13" t="inlineStr">
        <x:is>
          <x:t xml:space="preserve">21/3</x:t>
        </x:is>
      </x:c>
      <x:c r="K540" s="1"/>
      <x:c r="L540" s="1"/>
    </x:row>
    <x:row r="541" ht="22" customHeight="1">
      <x:c r="A541" s="93" t="n">
        <x:v>45792</x:v>
      </x:c>
      <x:c r="B541" s="24" t="n">
        <x:v>2025</x:v>
      </x:c>
      <x:c r="C541" s="16">
        <x:v>5623</x:v>
      </x:c>
      <x:c r="D541" s="16">
        <x:v>221</x:v>
      </x:c>
      <x:c r="E541" s="16">
        <x:v>49</x:v>
      </x:c>
      <x:c r="F541" s="16">
        <x:v>60</x:v>
      </x:c>
      <x:c r="G541" s="16">
        <x:v>12</x:v>
      </x:c>
      <x:c r="H541" s="16">
        <x:v>145</x:v>
      </x:c>
      <x:c r="I541" s="16">
        <x:v>27</x:v>
      </x:c>
      <x:c r="J541" s="15" t="inlineStr">
        <x:is>
          <x:t xml:space="preserve">21/4</x:t>
        </x:is>
      </x:c>
      <x:c r="K541" s="1"/>
      <x:c r="L541" s="1"/>
    </x:row>
    <x:row r="542" ht="22" customHeight="1">
      <x:c r="A542" s="92" t="n">
        <x:v>45793</x:v>
      </x:c>
      <x:c r="B542" s="21" t="n">
        <x:v>2025</x:v>
      </x:c>
      <x:c r="C542" s="14">
        <x:v>2464</x:v>
      </x:c>
      <x:c r="D542" s="14">
        <x:v>5</x:v>
      </x:c>
      <x:c r="E542" s="14">
        <x:v>0</x:v>
      </x:c>
      <x:c r="F542" s="14">
        <x:v>2</x:v>
      </x:c>
      <x:c r="G542" s="14">
        <x:v>1</x:v>
      </x:c>
      <x:c r="H542" s="14">
        <x:v>60</x:v>
      </x:c>
      <x:c r="I542" s="14">
        <x:v>4</x:v>
      </x:c>
      <x:c r="J542" s="13" t="inlineStr">
        <x:is>
          <x:t xml:space="preserve">21/5</x:t>
        </x:is>
      </x:c>
      <x:c r="K542" s="1"/>
      <x:c r="L542" s="1"/>
    </x:row>
    <x:row r="543" ht="22" customHeight="1">
      <x:c r="A543" s="93" t="n">
        <x:v>45798</x:v>
      </x:c>
      <x:c r="B543" s="24" t="n">
        <x:v>2025</x:v>
      </x:c>
      <x:c r="C543" s="16">
        <x:v>2221</x:v>
      </x:c>
      <x:c r="D543" s="16">
        <x:v>66</x:v>
      </x:c>
      <x:c r="E543" s="16">
        <x:v>16</x:v>
      </x:c>
      <x:c r="F543" s="16">
        <x:v>12</x:v>
      </x:c>
      <x:c r="G543" s="16">
        <x:v>2</x:v>
      </x:c>
      <x:c r="H543" s="16">
        <x:v>160</x:v>
      </x:c>
      <x:c r="I543" s="16">
        <x:v>8</x:v>
      </x:c>
      <x:c r="J543" s="15" t="inlineStr">
        <x:is>
          <x:t xml:space="preserve">21/6</x:t>
        </x:is>
      </x:c>
      <x:c r="K543" s="1"/>
      <x:c r="L543" s="1"/>
    </x:row>
    <x:row r="544" ht="22" customHeight="1">
      <x:c r="A544" s="92" t="n">
        <x:v>45799</x:v>
      </x:c>
      <x:c r="B544" s="21" t="n">
        <x:v>2025</x:v>
      </x:c>
      <x:c r="C544" s="14">
        <x:v>3678</x:v>
      </x:c>
      <x:c r="D544" s="14">
        <x:v>3</x:v>
      </x:c>
      <x:c r="E544" s="14">
        <x:v>0</x:v>
      </x:c>
      <x:c r="F544" s="14">
        <x:v>1</x:v>
      </x:c>
      <x:c r="G544" s="14">
        <x:v>0</x:v>
      </x:c>
      <x:c r="H544" s="14">
        <x:v>109</x:v>
      </x:c>
      <x:c r="I544" s="14">
        <x:v>3</x:v>
      </x:c>
      <x:c r="J544" s="13" t="inlineStr">
        <x:is>
          <x:t xml:space="preserve">21/7</x:t>
        </x:is>
      </x:c>
      <x:c r="K544" s="1"/>
      <x:c r="L544" s="1"/>
    </x:row>
    <x:row r="545" ht="22" customHeight="1">
      <x:c r="A545" s="93" t="n">
        <x:v>45800</x:v>
      </x:c>
      <x:c r="B545" s="24" t="n">
        <x:v>2025</x:v>
      </x:c>
      <x:c r="C545" s="16">
        <x:v>2820</x:v>
      </x:c>
      <x:c r="D545" s="16">
        <x:v>116</x:v>
      </x:c>
      <x:c r="E545" s="16">
        <x:v>44</x:v>
      </x:c>
      <x:c r="F545" s="16">
        <x:v>25</x:v>
      </x:c>
      <x:c r="G545" s="16">
        <x:v>6</x:v>
      </x:c>
      <x:c r="H545" s="16">
        <x:v>75</x:v>
      </x:c>
      <x:c r="I545" s="16">
        <x:v>21</x:v>
      </x:c>
      <x:c r="J545" s="15" t="inlineStr">
        <x:is>
          <x:t xml:space="preserve">21/8</x:t>
        </x:is>
      </x:c>
      <x:c r="K545" s="1"/>
      <x:c r="L545" s="1"/>
    </x:row>
    <x:row r="546" ht="22" customHeight="1">
      <x:c r="A546" s="92" t="n">
        <x:v>45812</x:v>
      </x:c>
      <x:c r="B546" s="21" t="n">
        <x:v>2025</x:v>
      </x:c>
      <x:c r="C546" s="14">
        <x:v>1942</x:v>
      </x:c>
      <x:c r="D546" s="14">
        <x:v>3</x:v>
      </x:c>
      <x:c r="E546" s="14">
        <x:v>0</x:v>
      </x:c>
      <x:c r="F546" s="14">
        <x:v>2</x:v>
      </x:c>
      <x:c r="G546" s="14">
        <x:v>0</x:v>
      </x:c>
      <x:c r="H546" s="14">
        <x:v>153</x:v>
      </x:c>
      <x:c r="I546" s="14">
        <x:v>3</x:v>
      </x:c>
      <x:c r="J546" s="13" t="inlineStr">
        <x:is>
          <x:t xml:space="preserve">21/9</x:t>
        </x:is>
      </x:c>
      <x:c r="K546" s="1"/>
      <x:c r="L546" s="1"/>
    </x:row>
    <x:row r="547" ht="22" customHeight="1">
      <x:c r="A547" s="93" t="n">
        <x:v>45813</x:v>
      </x:c>
      <x:c r="B547" s="24" t="n">
        <x:v>2025</x:v>
      </x:c>
      <x:c r="C547" s="16">
        <x:v>5461</x:v>
      </x:c>
      <x:c r="D547" s="16">
        <x:v>22</x:v>
      </x:c>
      <x:c r="E547" s="16">
        <x:v>6</x:v>
      </x:c>
      <x:c r="F547" s="16">
        <x:v>4</x:v>
      </x:c>
      <x:c r="G547" s="16">
        <x:v>0</x:v>
      </x:c>
      <x:c r="H547" s="16">
        <x:v>155</x:v>
      </x:c>
      <x:c r="I547" s="16">
        <x:v>11</x:v>
      </x:c>
      <x:c r="J547" s="15" t="inlineStr">
        <x:is>
          <x:t xml:space="preserve">21/10</x:t>
        </x:is>
      </x:c>
      <x:c r="K547" s="1"/>
      <x:c r="L547" s="1"/>
    </x:row>
    <x:row r="548" ht="22" customHeight="1">
      <x:c r="A548" s="92" t="n">
        <x:v>45814</x:v>
      </x:c>
      <x:c r="B548" s="21" t="n">
        <x:v>2025</x:v>
      </x:c>
      <x:c r="C548" s="14">
        <x:v>2715</x:v>
      </x:c>
      <x:c r="D548" s="14">
        <x:v>210</x:v>
      </x:c>
      <x:c r="E548" s="14">
        <x:v>85</x:v>
      </x:c>
      <x:c r="F548" s="14">
        <x:v>52</x:v>
      </x:c>
      <x:c r="G548" s="14">
        <x:v>7</x:v>
      </x:c>
      <x:c r="H548" s="14">
        <x:v>66</x:v>
      </x:c>
      <x:c r="I548" s="14">
        <x:v>26</x:v>
      </x:c>
      <x:c r="J548" s="13" t="inlineStr">
        <x:is>
          <x:t xml:space="preserve">21/11</x:t>
        </x:is>
      </x:c>
      <x:c r="K548" s="1"/>
      <x:c r="L548" s="1"/>
    </x:row>
    <x:row r="549" ht="22" customHeight="1">
      <x:c r="A549" s="93" t="n">
        <x:v>45832</x:v>
      </x:c>
      <x:c r="B549" s="24" t="n">
        <x:v>2025</x:v>
      </x:c>
      <x:c r="C549" s="16">
        <x:v>918</x:v>
      </x:c>
      <x:c r="D549" s="16">
        <x:v>1</x:v>
      </x:c>
      <x:c r="E549" s="16">
        <x:v>0</x:v>
      </x:c>
      <x:c r="F549" s="16">
        <x:v>1</x:v>
      </x:c>
      <x:c r="G549" s="16">
        <x:v>0</x:v>
      </x:c>
      <x:c r="H549" s="16">
        <x:v>16</x:v>
      </x:c>
      <x:c r="I549" s="16">
        <x:v>1</x:v>
      </x:c>
      <x:c r="J549" s="15" t="inlineStr">
        <x:is>
          <x:t xml:space="preserve">21/12</x:t>
        </x:is>
      </x:c>
      <x:c r="K549" s="1"/>
      <x:c r="L549" s="1"/>
    </x:row>
    <x:row r="550" ht="22" customHeight="1">
      <x:c r="A550" s="92" t="n">
        <x:v>45833</x:v>
      </x:c>
      <x:c r="B550" s="21" t="n">
        <x:v>2025</x:v>
      </x:c>
      <x:c r="C550" s="14">
        <x:v>2467</x:v>
      </x:c>
      <x:c r="D550" s="14">
        <x:v>89</x:v>
      </x:c>
      <x:c r="E550" s="14">
        <x:v>23</x:v>
      </x:c>
      <x:c r="F550" s="14">
        <x:v>36</x:v>
      </x:c>
      <x:c r="G550" s="14">
        <x:v>1</x:v>
      </x:c>
      <x:c r="H550" s="14">
        <x:v>172</x:v>
      </x:c>
      <x:c r="I550" s="14">
        <x:v>42</x:v>
      </x:c>
      <x:c r="J550" s="13" t="inlineStr">
        <x:is>
          <x:t xml:space="preserve">21/13</x:t>
        </x:is>
      </x:c>
      <x:c r="K550" s="1"/>
      <x:c r="L550" s="1"/>
    </x:row>
    <x:row r="551" ht="22" customHeight="1">
      <x:c r="A551" s="93" t="n">
        <x:v>45834</x:v>
      </x:c>
      <x:c r="B551" s="24" t="n">
        <x:v>2025</x:v>
      </x:c>
      <x:c r="C551" s="16">
        <x:v>5013</x:v>
      </x:c>
      <x:c r="D551" s="16">
        <x:v>6</x:v>
      </x:c>
      <x:c r="E551" s="16">
        <x:v>0</x:v>
      </x:c>
      <x:c r="F551" s="16">
        <x:v>2</x:v>
      </x:c>
      <x:c r="G551" s="16">
        <x:v>1</x:v>
      </x:c>
      <x:c r="H551" s="16">
        <x:v>148</x:v>
      </x:c>
      <x:c r="I551" s="16">
        <x:v>6</x:v>
      </x:c>
      <x:c r="J551" s="15" t="inlineStr">
        <x:is>
          <x:t xml:space="preserve">21/14</x:t>
        </x:is>
      </x:c>
      <x:c r="K551" s="1"/>
      <x:c r="L551" s="1"/>
    </x:row>
    <x:row r="552" ht="22" customHeight="1">
      <x:c r="A552" s="92" t="n">
        <x:v>45835</x:v>
      </x:c>
      <x:c r="B552" s="21" t="n">
        <x:v>2025</x:v>
      </x:c>
      <x:c r="C552" s="14">
        <x:v>2926</x:v>
      </x:c>
      <x:c r="D552" s="14">
        <x:v>24</x:v>
      </x:c>
      <x:c r="E552" s="14">
        <x:v>0</x:v>
      </x:c>
      <x:c r="F552" s="14">
        <x:v>20</x:v>
      </x:c>
      <x:c r="G552" s="14">
        <x:v>0</x:v>
      </x:c>
      <x:c r="H552" s="14">
        <x:v>96</x:v>
      </x:c>
      <x:c r="I552" s="14">
        <x:v>8</x:v>
      </x:c>
      <x:c r="J552" s="13" t="inlineStr">
        <x:is>
          <x:t xml:space="preserve">21/15</x:t>
        </x:is>
      </x:c>
      <x:c r="K552" s="1"/>
      <x:c r="L552" s="1"/>
    </x:row>
    <x:row r="553" ht="22" customHeight="1">
      <x:c r="A553" s="93" t="n">
        <x:v>45846</x:v>
      </x:c>
      <x:c r="B553" s="24" t="n">
        <x:v>2025</x:v>
      </x:c>
      <x:c r="C553" s="16">
        <x:v>5536</x:v>
      </x:c>
      <x:c r="D553" s="16">
        <x:v>261</x:v>
      </x:c>
      <x:c r="E553" s="16">
        <x:v>66</x:v>
      </x:c>
      <x:c r="F553" s="16">
        <x:v>62</x:v>
      </x:c>
      <x:c r="G553" s="16">
        <x:v>10</x:v>
      </x:c>
      <x:c r="H553" s="16">
        <x:v>126</x:v>
      </x:c>
      <x:c r="I553" s="16">
        <x:v>30</x:v>
      </x:c>
      <x:c r="J553" s="15" t="inlineStr">
        <x:is>
          <x:t xml:space="preserve">21/16</x:t>
        </x:is>
      </x:c>
      <x:c r="K553" s="1"/>
      <x:c r="L553" s="1"/>
    </x:row>
    <x:row r="554" ht="22" customHeight="1">
      <x:c r="A554" s="92" t="n">
        <x:v>45847</x:v>
      </x:c>
      <x:c r="B554" s="21" t="n">
        <x:v>2025</x:v>
      </x:c>
      <x:c r="C554" s="14">
        <x:v>4635</x:v>
      </x:c>
      <x:c r="D554" s="14">
        <x:v>20</x:v>
      </x:c>
      <x:c r="E554" s="14">
        <x:v>4</x:v>
      </x:c>
      <x:c r="F554" s="14">
        <x:v>5</x:v>
      </x:c>
      <x:c r="G554" s="14">
        <x:v>5</x:v>
      </x:c>
      <x:c r="H554" s="14">
        <x:v>155</x:v>
      </x:c>
      <x:c r="I554" s="14">
        <x:v>13</x:v>
      </x:c>
      <x:c r="J554" s="13" t="inlineStr">
        <x:is>
          <x:t xml:space="preserve">21/17</x:t>
        </x:is>
      </x:c>
      <x:c r="K554" s="1"/>
      <x:c r="L554" s="1"/>
    </x:row>
    <x:row r="555" ht="22" customHeight="1">
      <x:c r="A555" s="93" t="n">
        <x:v>45848</x:v>
      </x:c>
      <x:c r="B555" s="24" t="n">
        <x:v>2025</x:v>
      </x:c>
      <x:c r="C555" s="16">
        <x:v>5934</x:v>
      </x:c>
      <x:c r="D555" s="16">
        <x:v>7</x:v>
      </x:c>
      <x:c r="E555" s="16">
        <x:v>2</x:v>
      </x:c>
      <x:c r="F555" s="16">
        <x:v>1</x:v>
      </x:c>
      <x:c r="G555" s="16">
        <x:v>0</x:v>
      </x:c>
      <x:c r="H555" s="16">
        <x:v>156</x:v>
      </x:c>
      <x:c r="I555" s="16">
        <x:v>7</x:v>
      </x:c>
      <x:c r="J555" s="15" t="inlineStr">
        <x:is>
          <x:t xml:space="preserve">21/18</x:t>
        </x:is>
      </x:c>
      <x:c r="K555" s="1"/>
      <x:c r="L555" s="1"/>
    </x:row>
    <x:row r="556" ht="22" customHeight="1">
      <x:c r="A556" s="92" t="n">
        <x:v>45849</x:v>
      </x:c>
      <x:c r="B556" s="21" t="n">
        <x:v>2025</x:v>
      </x:c>
      <x:c r="C556" s="14">
        <x:v>2165</x:v>
      </x:c>
      <x:c r="D556" s="14">
        <x:v>6</x:v>
      </x:c>
      <x:c r="E556" s="14">
        <x:v>2</x:v>
      </x:c>
      <x:c r="F556" s="14">
        <x:v>3</x:v>
      </x:c>
      <x:c r="G556" s="14">
        <x:v>0</x:v>
      </x:c>
      <x:c r="H556" s="14">
        <x:v>59</x:v>
      </x:c>
      <x:c r="I556" s="14">
        <x:v>4</x:v>
      </x:c>
      <x:c r="J556" s="13" t="inlineStr">
        <x:is>
          <x:t xml:space="preserve">21/19</x:t>
        </x:is>
      </x:c>
      <x:c r="K556" s="1"/>
      <x:c r="L556" s="1"/>
    </x:row>
    <x:row r="557" ht="22" customHeight="1">
      <x:c r="A557" s="93" t="n">
        <x:v>45910</x:v>
      </x:c>
      <x:c r="B557" s="24" t="n">
        <x:v>2025</x:v>
      </x:c>
      <x:c r="C557" s="16">
        <x:v>2388</x:v>
      </x:c>
      <x:c r="D557" s="16">
        <x:v>5</x:v>
      </x:c>
      <x:c r="E557" s="16">
        <x:v>1</x:v>
      </x:c>
      <x:c r="F557" s="16">
        <x:v>1</x:v>
      </x:c>
      <x:c r="G557" s="16">
        <x:v>1</x:v>
      </x:c>
      <x:c r="H557" s="16">
        <x:v>183</x:v>
      </x:c>
      <x:c r="I557" s="16">
        <x:v>5</x:v>
      </x:c>
      <x:c r="J557" s="15" t="inlineStr">
        <x:is>
          <x:t xml:space="preserve">21/20</x:t>
        </x:is>
      </x:c>
      <x:c r="K557" s="1"/>
      <x:c r="L557" s="1"/>
    </x:row>
    <x:row r="558" ht="22" customHeight="1">
      <x:c r="A558" s="92" t="n">
        <x:v>45911</x:v>
      </x:c>
      <x:c r="B558" s="21" t="n">
        <x:v>2025</x:v>
      </x:c>
      <x:c r="C558" s="14">
        <x:v>5527</x:v>
      </x:c>
      <x:c r="D558" s="14">
        <x:v>7</x:v>
      </x:c>
      <x:c r="E558" s="14">
        <x:v>1</x:v>
      </x:c>
      <x:c r="F558" s="14">
        <x:v>2</x:v>
      </x:c>
      <x:c r="G558" s="14">
        <x:v>0</x:v>
      </x:c>
      <x:c r="H558" s="14">
        <x:v>161</x:v>
      </x:c>
      <x:c r="I558" s="14">
        <x:v>4</x:v>
      </x:c>
      <x:c r="J558" s="13" t="inlineStr">
        <x:is>
          <x:t xml:space="preserve">21/21</x:t>
        </x:is>
      </x:c>
      <x:c r="K558" s="1"/>
      <x:c r="L558" s="1"/>
    </x:row>
    <x:row r="559" ht="22" customHeight="1">
      <x:c r="A559" s="93" t="n">
        <x:v>45912</x:v>
      </x:c>
      <x:c r="B559" s="24" t="n">
        <x:v>2025</x:v>
      </x:c>
      <x:c r="C559" s="16">
        <x:v>3211</x:v>
      </x:c>
      <x:c r="D559" s="16">
        <x:v>61</x:v>
      </x:c>
      <x:c r="E559" s="16">
        <x:v>7</x:v>
      </x:c>
      <x:c r="F559" s="16">
        <x:v>34</x:v>
      </x:c>
      <x:c r="G559" s="16">
        <x:v>2</x:v>
      </x:c>
      <x:c r="H559" s="16">
        <x:v>85</x:v>
      </x:c>
      <x:c r="I559" s="16">
        <x:v>18</x:v>
      </x:c>
      <x:c r="J559" s="15" t="inlineStr">
        <x:is>
          <x:t xml:space="preserve">21/22</x:t>
        </x:is>
      </x:c>
      <x:c r="K559" s="1"/>
      <x:c r="L559" s="1"/>
    </x:row>
    <x:row r="560" ht="22" customHeight="1">
      <x:c r="A560" s="92" t="n">
        <x:v>45916</x:v>
      </x:c>
      <x:c r="B560" s="21" t="n">
        <x:v>2025</x:v>
      </x:c>
      <x:c r="C560" s="14">
        <x:v>5769</x:v>
      </x:c>
      <x:c r="D560" s="14">
        <x:v>177</x:v>
      </x:c>
      <x:c r="E560" s="14">
        <x:v>49</x:v>
      </x:c>
      <x:c r="F560" s="14">
        <x:v>49</x:v>
      </x:c>
      <x:c r="G560" s="14">
        <x:v>9</x:v>
      </x:c>
      <x:c r="H560" s="14">
        <x:v>148</x:v>
      </x:c>
      <x:c r="I560" s="14">
        <x:v>26</x:v>
      </x:c>
      <x:c r="J560" s="13" t="inlineStr">
        <x:is>
          <x:t xml:space="preserve">21/23</x:t>
        </x:is>
      </x:c>
      <x:c r="K560" s="1"/>
      <x:c r="L560" s="1"/>
    </x:row>
    <x:row r="561" ht="22" customHeight="1">
      <x:c r="A561" s="93" t="n">
        <x:v>45917</x:v>
      </x:c>
      <x:c r="B561" s="24" t="n">
        <x:v>2025</x:v>
      </x:c>
      <x:c r="C561" s="16">
        <x:v>6217</x:v>
      </x:c>
      <x:c r="D561" s="16">
        <x:v>22</x:v>
      </x:c>
      <x:c r="E561" s="16">
        <x:v>3</x:v>
      </x:c>
      <x:c r="F561" s="16">
        <x:v>4</x:v>
      </x:c>
      <x:c r="G561" s="16">
        <x:v>2</x:v>
      </x:c>
      <x:c r="H561" s="16">
        <x:v>147</x:v>
      </x:c>
      <x:c r="I561" s="16">
        <x:v>13</x:v>
      </x:c>
      <x:c r="J561" s="15" t="inlineStr">
        <x:is>
          <x:t xml:space="preserve">21/24</x:t>
        </x:is>
      </x:c>
      <x:c r="K561" s="1"/>
      <x:c r="L561" s="1"/>
    </x:row>
    <x:row r="562" ht="22" customHeight="1">
      <x:c r="A562" s="92" t="n">
        <x:v>45918</x:v>
      </x:c>
      <x:c r="B562" s="21" t="n">
        <x:v>2025</x:v>
      </x:c>
      <x:c r="C562" s="14">
        <x:v>2239</x:v>
      </x:c>
      <x:c r="D562" s="14">
        <x:v>2</x:v>
      </x:c>
      <x:c r="E562" s="14">
        <x:v>0</x:v>
      </x:c>
      <x:c r="F562" s="14">
        <x:v>2</x:v>
      </x:c>
      <x:c r="G562" s="14">
        <x:v>0</x:v>
      </x:c>
      <x:c r="H562" s="14">
        <x:v>52</x:v>
      </x:c>
      <x:c r="I562" s="14">
        <x:v>2</x:v>
      </x:c>
      <x:c r="J562" s="13" t="inlineStr">
        <x:is>
          <x:t xml:space="preserve">21/25</x:t>
        </x:is>
      </x:c>
      <x:c r="K562" s="1"/>
      <x:c r="L562" s="1"/>
    </x:row>
    <x:row r="563" ht="22" customHeight="1">
      <x:c r="A563" s="93" t="n">
        <x:v>45923</x:v>
      </x:c>
      <x:c r="B563" s="24" t="n">
        <x:v>2025</x:v>
      </x:c>
      <x:c r="C563" s="16">
        <x:v>4620</x:v>
      </x:c>
      <x:c r="D563" s="16">
        <x:v>237</x:v>
      </x:c>
      <x:c r="E563" s="16">
        <x:v>68</x:v>
      </x:c>
      <x:c r="F563" s="16">
        <x:v>66</x:v>
      </x:c>
      <x:c r="G563" s="16">
        <x:v>16</x:v>
      </x:c>
      <x:c r="H563" s="16">
        <x:v>103</x:v>
      </x:c>
      <x:c r="I563" s="16">
        <x:v>23</x:v>
      </x:c>
      <x:c r="J563" s="15" t="inlineStr">
        <x:is>
          <x:t xml:space="preserve">21/26</x:t>
        </x:is>
      </x:c>
      <x:c r="K563" s="1"/>
      <x:c r="L563" s="1"/>
    </x:row>
    <x:row r="564" ht="22" customHeight="1">
      <x:c r="A564" s="92" t="n">
        <x:v>45924</x:v>
      </x:c>
      <x:c r="B564" s="21" t="n">
        <x:v>2025</x:v>
      </x:c>
      <x:c r="C564" s="14">
        <x:v>4146</x:v>
      </x:c>
      <x:c r="D564" s="14">
        <x:v>16</x:v>
      </x:c>
      <x:c r="E564" s="14">
        <x:v>3</x:v>
      </x:c>
      <x:c r="F564" s="14">
        <x:v>4</x:v>
      </x:c>
      <x:c r="G564" s="14">
        <x:v>1</x:v>
      </x:c>
      <x:c r="H564" s="14">
        <x:v>87</x:v>
      </x:c>
      <x:c r="I564" s="14">
        <x:v>10</x:v>
      </x:c>
      <x:c r="J564" s="13" t="inlineStr">
        <x:is>
          <x:t xml:space="preserve">21/27</x:t>
        </x:is>
      </x:c>
      <x:c r="K564" s="1"/>
      <x:c r="L564" s="1"/>
    </x:row>
    <x:row r="565" ht="22" customHeight="1">
      <x:c r="A565" s="93" t="n">
        <x:v>45925</x:v>
      </x:c>
      <x:c r="B565" s="24" t="n">
        <x:v>2025</x:v>
      </x:c>
      <x:c r="C565" s="16">
        <x:v>4904</x:v>
      </x:c>
      <x:c r="D565" s="16">
        <x:v>15</x:v>
      </x:c>
      <x:c r="E565" s="16">
        <x:v>2</x:v>
      </x:c>
      <x:c r="F565" s="16">
        <x:v>2</x:v>
      </x:c>
      <x:c r="G565" s="16">
        <x:v>2</x:v>
      </x:c>
      <x:c r="H565" s="16">
        <x:v>116</x:v>
      </x:c>
      <x:c r="I565" s="16">
        <x:v>9</x:v>
      </x:c>
      <x:c r="J565" s="15" t="inlineStr">
        <x:is>
          <x:t xml:space="preserve">21/28</x:t>
        </x:is>
      </x:c>
      <x:c r="K565" s="1"/>
      <x:c r="L565" s="1"/>
    </x:row>
    <x:row r="566" ht="22" customHeight="1">
      <x:c r="A566" s="92" t="n">
        <x:v>45926</x:v>
      </x:c>
      <x:c r="B566" s="21" t="n">
        <x:v>2025</x:v>
      </x:c>
      <x:c r="C566" s="14">
        <x:v>2496</x:v>
      </x:c>
      <x:c r="D566" s="14">
        <x:v>17</x:v>
      </x:c>
      <x:c r="E566" s="14">
        <x:v>1</x:v>
      </x:c>
      <x:c r="F566" s="14">
        <x:v>8</x:v>
      </x:c>
      <x:c r="G566" s="14">
        <x:v>0</x:v>
      </x:c>
      <x:c r="H566" s="14">
        <x:v>60</x:v>
      </x:c>
      <x:c r="I566" s="14">
        <x:v>10</x:v>
      </x:c>
      <x:c r="J566" s="13" t="inlineStr">
        <x:is>
          <x:t xml:space="preserve">21/29</x:t>
        </x:is>
      </x:c>
      <x:c r="K566" s="1"/>
      <x:c r="L566" s="1"/>
    </x:row>
    <x:row r="567" ht="22" customHeight="1">
      <x:c r="A567" s="93" t="n">
        <x:v>45938</x:v>
      </x:c>
      <x:c r="B567" s="24" t="n">
        <x:v>2025</x:v>
      </x:c>
      <x:c r="C567" s="16">
        <x:v>2534</x:v>
      </x:c>
      <x:c r="D567" s="16">
        <x:v>16</x:v>
      </x:c>
      <x:c r="E567" s="16">
        <x:v>2</x:v>
      </x:c>
      <x:c r="F567" s="16">
        <x:v>6</x:v>
      </x:c>
      <x:c r="G567" s="16">
        <x:v>1</x:v>
      </x:c>
      <x:c r="H567" s="16">
        <x:v>173</x:v>
      </x:c>
      <x:c r="I567" s="16">
        <x:v>11</x:v>
      </x:c>
      <x:c r="J567" s="15" t="inlineStr">
        <x:is>
          <x:t xml:space="preserve">21/30</x:t>
        </x:is>
      </x:c>
      <x:c r="K567" s="1"/>
      <x:c r="L567" s="1"/>
    </x:row>
    <x:row r="568" ht="22" customHeight="1">
      <x:c r="A568" s="92" t="n">
        <x:v>45939</x:v>
      </x:c>
      <x:c r="B568" s="21" t="n">
        <x:v>2025</x:v>
      </x:c>
      <x:c r="C568" s="14">
        <x:v>5655</x:v>
      </x:c>
      <x:c r="D568" s="14">
        <x:v>13</x:v>
      </x:c>
      <x:c r="E568" s="14">
        <x:v>0</x:v>
      </x:c>
      <x:c r="F568" s="14">
        <x:v>2</x:v>
      </x:c>
      <x:c r="G568" s="14">
        <x:v>2</x:v>
      </x:c>
      <x:c r="H568" s="14">
        <x:v>155</x:v>
      </x:c>
      <x:c r="I568" s="14">
        <x:v>10</x:v>
      </x:c>
      <x:c r="J568" s="13" t="inlineStr">
        <x:is>
          <x:t xml:space="preserve">21/31</x:t>
        </x:is>
      </x:c>
      <x:c r="K568" s="1"/>
      <x:c r="L568" s="1"/>
    </x:row>
    <x:row r="569" ht="22" customHeight="1">
      <x:c r="A569" s="93" t="n">
        <x:v>45940</x:v>
      </x:c>
      <x:c r="B569" s="24" t="n">
        <x:v>2025</x:v>
      </x:c>
      <x:c r="C569" s="16">
        <x:v>2986</x:v>
      </x:c>
      <x:c r="D569" s="16">
        <x:v>9</x:v>
      </x:c>
      <x:c r="E569" s="16">
        <x:v>2</x:v>
      </x:c>
      <x:c r="F569" s="16">
        <x:v>5</x:v>
      </x:c>
      <x:c r="G569" s="16">
        <x:v>2</x:v>
      </x:c>
      <x:c r="H569" s="16">
        <x:v>79</x:v>
      </x:c>
      <x:c r="I569" s="16">
        <x:v>6</x:v>
      </x:c>
      <x:c r="J569" s="15" t="inlineStr">
        <x:is>
          <x:t xml:space="preserve">21/32</x:t>
        </x:is>
      </x:c>
      <x:c r="K569" s="1"/>
      <x:c r="L569" s="1"/>
    </x:row>
    <x:row r="570" ht="22" customHeight="1">
      <x:c r="A570" s="92" t="n">
        <x:v>45945</x:v>
      </x:c>
      <x:c r="B570" s="21" t="n">
        <x:v>2025</x:v>
      </x:c>
      <x:c r="C570" s="14">
        <x:v>2645</x:v>
      </x:c>
      <x:c r="D570" s="14">
        <x:v>2</x:v>
      </x:c>
      <x:c r="E570" s="14">
        <x:v>1</x:v>
      </x:c>
      <x:c r="F570" s="14">
        <x:v>0</x:v>
      </x:c>
      <x:c r="G570" s="14">
        <x:v>0</x:v>
      </x:c>
      <x:c r="H570" s="14">
        <x:v>189</x:v>
      </x:c>
      <x:c r="I570" s="14">
        <x:v>2</x:v>
      </x:c>
      <x:c r="J570" s="13" t="inlineStr">
        <x:is>
          <x:t xml:space="preserve">21/33</x:t>
        </x:is>
      </x:c>
      <x:c r="K570" s="1"/>
      <x:c r="L570" s="1"/>
    </x:row>
    <x:row r="571" ht="22" customHeight="1">
      <x:c r="A571" s="93" t="n">
        <x:v>45946</x:v>
      </x:c>
      <x:c r="B571" s="24" t="n">
        <x:v>2025</x:v>
      </x:c>
      <x:c r="C571" s="16">
        <x:v>5590</x:v>
      </x:c>
      <x:c r="D571" s="16">
        <x:v>11</x:v>
      </x:c>
      <x:c r="E571" s="16">
        <x:v>0</x:v>
      </x:c>
      <x:c r="F571" s="16">
        <x:v>1</x:v>
      </x:c>
      <x:c r="G571" s="16">
        <x:v>0</x:v>
      </x:c>
      <x:c r="H571" s="16">
        <x:v>137</x:v>
      </x:c>
      <x:c r="I571" s="16">
        <x:v>5</x:v>
      </x:c>
      <x:c r="J571" s="15" t="inlineStr">
        <x:is>
          <x:t xml:space="preserve">21/34</x:t>
        </x:is>
      </x:c>
      <x:c r="K571" s="1"/>
      <x:c r="L571" s="1"/>
    </x:row>
    <x:row r="572" ht="22" customHeight="1">
      <x:c r="A572" s="92" t="n">
        <x:v>45947</x:v>
      </x:c>
      <x:c r="B572" s="21" t="n">
        <x:v>2025</x:v>
      </x:c>
      <x:c r="C572" s="14">
        <x:v>2885</x:v>
      </x:c>
      <x:c r="D572" s="14">
        <x:v>8</x:v>
      </x:c>
      <x:c r="E572" s="14">
        <x:v>2</x:v>
      </x:c>
      <x:c r="F572" s="14">
        <x:v>1</x:v>
      </x:c>
      <x:c r="G572" s="14">
        <x:v>0</x:v>
      </x:c>
      <x:c r="H572" s="14">
        <x:v>83</x:v>
      </x:c>
      <x:c r="I572" s="14">
        <x:v>5</x:v>
      </x:c>
      <x:c r="J572" s="13" t="inlineStr">
        <x:is>
          <x:t xml:space="preserve">21/35</x:t>
        </x:is>
      </x:c>
      <x:c r="K572" s="1"/>
      <x:c r="L572" s="1"/>
    </x:row>
    <x:row r="573" ht="22" customHeight="1">
      <x:c r="A573" s="93" t="n">
        <x:v>45966</x:v>
      </x:c>
      <x:c r="B573" s="24" t="n">
        <x:v>2025</x:v>
      </x:c>
      <x:c r="C573" s="16">
        <x:v>2613</x:v>
      </x:c>
      <x:c r="D573" s="16">
        <x:v>2</x:v>
      </x:c>
      <x:c r="E573" s="16">
        <x:v>0</x:v>
      </x:c>
      <x:c r="F573" s="16">
        <x:v>0</x:v>
      </x:c>
      <x:c r="G573" s="16">
        <x:v>0</x:v>
      </x:c>
      <x:c r="H573" s="16">
        <x:v>186</x:v>
      </x:c>
      <x:c r="I573" s="16">
        <x:v>2</x:v>
      </x:c>
      <x:c r="J573" s="15" t="inlineStr">
        <x:is>
          <x:t xml:space="preserve">21/36</x:t>
        </x:is>
      </x:c>
      <x:c r="K573" s="1"/>
      <x:c r="L573" s="1"/>
    </x:row>
    <x:row r="574" ht="22" customHeight="1">
      <x:c r="A574" s="92" t="n">
        <x:v>45967</x:v>
      </x:c>
      <x:c r="B574" s="21" t="n">
        <x:v>2025</x:v>
      </x:c>
      <x:c r="C574" s="14">
        <x:v>5229</x:v>
      </x:c>
      <x:c r="D574" s="14">
        <x:v>128</x:v>
      </x:c>
      <x:c r="E574" s="14">
        <x:v>17</x:v>
      </x:c>
      <x:c r="F574" s="14">
        <x:v>54</x:v>
      </x:c>
      <x:c r="G574" s="14">
        <x:v>5</x:v>
      </x:c>
      <x:c r="H574" s="14">
        <x:v>147</x:v>
      </x:c>
      <x:c r="I574" s="14">
        <x:v>20</x:v>
      </x:c>
      <x:c r="J574" s="13" t="inlineStr">
        <x:is>
          <x:t xml:space="preserve">21/37</x:t>
        </x:is>
      </x:c>
      <x:c r="K574" s="1"/>
      <x:c r="L574" s="1"/>
    </x:row>
    <x:row r="575" ht="22" customHeight="1">
      <x:c r="A575" s="93" t="n">
        <x:v>45968</x:v>
      </x:c>
      <x:c r="B575" s="24" t="n">
        <x:v>2025</x:v>
      </x:c>
      <x:c r="C575" s="16">
        <x:v>3191</x:v>
      </x:c>
      <x:c r="D575" s="16">
        <x:v>14</x:v>
      </x:c>
      <x:c r="E575" s="16">
        <x:v>2</x:v>
      </x:c>
      <x:c r="F575" s="16">
        <x:v>3</x:v>
      </x:c>
      <x:c r="G575" s="16">
        <x:v>1</x:v>
      </x:c>
      <x:c r="H575" s="16">
        <x:v>88</x:v>
      </x:c>
      <x:c r="I575" s="16">
        <x:v>10</x:v>
      </x:c>
      <x:c r="J575" s="15" t="inlineStr">
        <x:is>
          <x:t xml:space="preserve">21/38</x:t>
        </x:is>
      </x:c>
      <x:c r="K575" s="1"/>
      <x:c r="L575" s="1"/>
    </x:row>
    <x:row r="576" ht="22" customHeight="1">
      <x:c r="A576" s="92" t="n">
        <x:v>45973</x:v>
      </x:c>
      <x:c r="B576" s="21" t="n">
        <x:v>2025</x:v>
      </x:c>
      <x:c r="C576" s="14">
        <x:v>2461</x:v>
      </x:c>
      <x:c r="D576" s="14">
        <x:v>8</x:v>
      </x:c>
      <x:c r="E576" s="14">
        <x:v>0</x:v>
      </x:c>
      <x:c r="F576" s="14">
        <x:v>0</x:v>
      </x:c>
      <x:c r="G576" s="14">
        <x:v>0</x:v>
      </x:c>
      <x:c r="H576" s="14">
        <x:v>169</x:v>
      </x:c>
      <x:c r="I576" s="14">
        <x:v>5</x:v>
      </x:c>
      <x:c r="J576" s="13" t="inlineStr">
        <x:is>
          <x:t xml:space="preserve">21/39</x:t>
        </x:is>
      </x:c>
      <x:c r="K576" s="1"/>
      <x:c r="L576" s="1"/>
    </x:row>
    <x:row r="577" ht="22" customHeight="1">
      <x:c r="A577" s="93" t="n">
        <x:v>45974</x:v>
      </x:c>
      <x:c r="B577" s="24" t="n">
        <x:v>2025</x:v>
      </x:c>
      <x:c r="C577" s="16">
        <x:v>5359</x:v>
      </x:c>
      <x:c r="D577" s="16">
        <x:v>36</x:v>
      </x:c>
      <x:c r="E577" s="16">
        <x:v>2</x:v>
      </x:c>
      <x:c r="F577" s="16">
        <x:v>3</x:v>
      </x:c>
      <x:c r="G577" s="16">
        <x:v>2</x:v>
      </x:c>
      <x:c r="H577" s="16">
        <x:v>153</x:v>
      </x:c>
      <x:c r="I577" s="16">
        <x:v>19</x:v>
      </x:c>
      <x:c r="J577" s="15" t="inlineStr">
        <x:is>
          <x:t xml:space="preserve">21/40</x:t>
        </x:is>
      </x:c>
      <x:c r="K577" s="1"/>
      <x:c r="L577" s="1"/>
    </x:row>
    <x:row r="578" ht="22" customHeight="1">
      <x:c r="A578" s="92" t="n">
        <x:v>45975</x:v>
      </x:c>
      <x:c r="B578" s="21" t="n">
        <x:v>2025</x:v>
      </x:c>
      <x:c r="C578" s="14">
        <x:v>2895</x:v>
      </x:c>
      <x:c r="D578" s="14">
        <x:v>31</x:v>
      </x:c>
      <x:c r="E578" s="14">
        <x:v>2</x:v>
      </x:c>
      <x:c r="F578" s="14">
        <x:v>5</x:v>
      </x:c>
      <x:c r="G578" s="14">
        <x:v>0</x:v>
      </x:c>
      <x:c r="H578" s="14">
        <x:v>90</x:v>
      </x:c>
      <x:c r="I578" s="14">
        <x:v>13</x:v>
      </x:c>
      <x:c r="J578" s="13" t="inlineStr">
        <x:is>
          <x:t xml:space="preserve">21/41</x:t>
        </x:is>
      </x:c>
      <x:c r="K578" s="1"/>
      <x:c r="L578" s="1"/>
    </x:row>
    <x:row r="579" ht="22" customHeight="1">
      <x:c r="A579" s="93" t="n">
        <x:v>45986</x:v>
      </x:c>
      <x:c r="B579" s="24" t="n">
        <x:v>2025</x:v>
      </x:c>
      <x:c r="C579" s="16">
        <x:v>4163</x:v>
      </x:c>
      <x:c r="D579" s="16">
        <x:v>15</x:v>
      </x:c>
      <x:c r="E579" s="16">
        <x:v>4</x:v>
      </x:c>
      <x:c r="F579" s="16">
        <x:v>8</x:v>
      </x:c>
      <x:c r="G579" s="16">
        <x:v>0</x:v>
      </x:c>
      <x:c r="H579" s="16">
        <x:v>104</x:v>
      </x:c>
      <x:c r="I579" s="16">
        <x:v>7</x:v>
      </x:c>
      <x:c r="J579" s="15" t="inlineStr">
        <x:is>
          <x:t xml:space="preserve">21/42</x:t>
        </x:is>
      </x:c>
      <x:c r="K579" s="1"/>
      <x:c r="L579" s="1"/>
    </x:row>
    <x:row r="580" ht="22" customHeight="1">
      <x:c r="A580" s="92" t="n">
        <x:v>45987</x:v>
      </x:c>
      <x:c r="B580" s="21" t="n">
        <x:v>2025</x:v>
      </x:c>
      <x:c r="C580" s="14">
        <x:v>4563</x:v>
      </x:c>
      <x:c r="D580" s="14">
        <x:v>19</x:v>
      </x:c>
      <x:c r="E580" s="14">
        <x:v>1</x:v>
      </x:c>
      <x:c r="F580" s="14">
        <x:v>10</x:v>
      </x:c>
      <x:c r="G580" s="14">
        <x:v>2</x:v>
      </x:c>
      <x:c r="H580" s="14">
        <x:v>102</x:v>
      </x:c>
      <x:c r="I580" s="14">
        <x:v>9</x:v>
      </x:c>
      <x:c r="J580" s="13" t="inlineStr">
        <x:is>
          <x:t xml:space="preserve">21/43</x:t>
        </x:is>
      </x:c>
      <x:c r="K580" s="1"/>
      <x:c r="L580" s="1"/>
    </x:row>
    <x:row r="581" ht="22" customHeight="1">
      <x:c r="A581" s="93" t="n">
        <x:v>45988</x:v>
      </x:c>
      <x:c r="B581" s="24" t="n">
        <x:v>2025</x:v>
      </x:c>
      <x:c r="C581" s="16">
        <x:v>5005</x:v>
      </x:c>
      <x:c r="D581" s="16">
        <x:v>185</x:v>
      </x:c>
      <x:c r="E581" s="16">
        <x:v>46</x:v>
      </x:c>
      <x:c r="F581" s="16">
        <x:v>52</x:v>
      </x:c>
      <x:c r="G581" s="16">
        <x:v>1</x:v>
      </x:c>
      <x:c r="H581" s="16">
        <x:v>117</x:v>
      </x:c>
      <x:c r="I581" s="16">
        <x:v>23</x:v>
      </x:c>
      <x:c r="J581" s="15" t="inlineStr">
        <x:is>
          <x:t xml:space="preserve">21/44</x:t>
        </x:is>
      </x:c>
      <x:c r="K581" s="1"/>
      <x:c r="L581" s="1"/>
    </x:row>
    <x:row r="582" ht="22" customHeight="1">
      <x:c r="A582" s="92" t="n">
        <x:v>45989</x:v>
      </x:c>
      <x:c r="B582" s="21" t="n">
        <x:v>2025</x:v>
      </x:c>
      <x:c r="C582" s="14">
        <x:v>2566</x:v>
      </x:c>
      <x:c r="D582" s="14">
        <x:v>3</x:v>
      </x:c>
      <x:c r="E582" s="14">
        <x:v>1</x:v>
      </x:c>
      <x:c r="F582" s="14">
        <x:v>2</x:v>
      </x:c>
      <x:c r="G582" s="14">
        <x:v>0</x:v>
      </x:c>
      <x:c r="H582" s="14">
        <x:v>66</x:v>
      </x:c>
      <x:c r="I582" s="14">
        <x:v>3</x:v>
      </x:c>
      <x:c r="J582" s="13" t="inlineStr">
        <x:is>
          <x:t xml:space="preserve">21/45</x:t>
        </x:is>
      </x:c>
      <x:c r="K582" s="1"/>
      <x:c r="L582" s="1"/>
    </x:row>
    <x:row r="583" ht="22" customHeight="1">
      <x:c r="A583" s="93" t="n">
        <x:v>45994</x:v>
      </x:c>
      <x:c r="B583" s="24" t="n">
        <x:v>2025</x:v>
      </x:c>
      <x:c r="C583" s="16">
        <x:v>2839</x:v>
      </x:c>
      <x:c r="D583" s="16">
        <x:v>3</x:v>
      </x:c>
      <x:c r="E583" s="16">
        <x:v>0</x:v>
      </x:c>
      <x:c r="F583" s="16">
        <x:v>1</x:v>
      </x:c>
      <x:c r="G583" s="16">
        <x:v>0</x:v>
      </x:c>
      <x:c r="H583" s="16">
        <x:v>197</x:v>
      </x:c>
      <x:c r="I583" s="16">
        <x:v>3</x:v>
      </x:c>
      <x:c r="J583" s="15" t="inlineStr">
        <x:is>
          <x:t xml:space="preserve">21/46</x:t>
        </x:is>
      </x:c>
      <x:c r="K583" s="1"/>
      <x:c r="L583" s="1"/>
    </x:row>
    <x:row r="584" ht="22" customHeight="1">
      <x:c r="A584" s="92" t="n">
        <x:v>45995</x:v>
      </x:c>
      <x:c r="B584" s="21" t="n">
        <x:v>2025</x:v>
      </x:c>
      <x:c r="C584" s="14">
        <x:v>5423</x:v>
      </x:c>
      <x:c r="D584" s="14">
        <x:v>11</x:v>
      </x:c>
      <x:c r="E584" s="14">
        <x:v>1</x:v>
      </x:c>
      <x:c r="F584" s="14">
        <x:v>7</x:v>
      </x:c>
      <x:c r="G584" s="14">
        <x:v>0</x:v>
      </x:c>
      <x:c r="H584" s="14">
        <x:v>167</x:v>
      </x:c>
      <x:c r="I584" s="14">
        <x:v>8</x:v>
      </x:c>
      <x:c r="J584" s="13" t="inlineStr">
        <x:is>
          <x:t xml:space="preserve">21/47</x:t>
        </x:is>
      </x:c>
      <x:c r="K584" s="1"/>
      <x:c r="L584" s="1"/>
    </x:row>
    <x:row r="585" ht="22" customHeight="1">
      <x:c r="A585" s="93" t="n">
        <x:v>45996</x:v>
      </x:c>
      <x:c r="B585" s="24" t="n">
        <x:v>2025</x:v>
      </x:c>
      <x:c r="C585" s="16">
        <x:v>3561</x:v>
      </x:c>
      <x:c r="D585" s="16">
        <x:v>5</x:v>
      </x:c>
      <x:c r="E585" s="16">
        <x:v>1</x:v>
      </x:c>
      <x:c r="F585" s="16">
        <x:v>1</x:v>
      </x:c>
      <x:c r="G585" s="16">
        <x:v>0</x:v>
      </x:c>
      <x:c r="H585" s="16">
        <x:v>112</x:v>
      </x:c>
      <x:c r="I585" s="16">
        <x:v>5</x:v>
      </x:c>
      <x:c r="J585" s="15" t="inlineStr">
        <x:is>
          <x:t xml:space="preserve">21/48</x:t>
        </x:is>
      </x:c>
      <x:c r="K585" s="1"/>
      <x:c r="L585" s="1"/>
    </x:row>
    <x:row r="586" ht="22" customHeight="1">
      <x:c r="A586" s="92" t="n">
        <x:v>46008</x:v>
      </x:c>
      <x:c r="B586" s="21" t="n">
        <x:v>2025</x:v>
      </x:c>
      <x:c r="C586" s="14">
        <x:v>2924</x:v>
      </x:c>
      <x:c r="D586" s="14">
        <x:v>6</x:v>
      </x:c>
      <x:c r="E586" s="14">
        <x:v>0</x:v>
      </x:c>
      <x:c r="F586" s="14">
        <x:v>2</x:v>
      </x:c>
      <x:c r="G586" s="14">
        <x:v>0</x:v>
      </x:c>
      <x:c r="H586" s="14">
        <x:v>136</x:v>
      </x:c>
      <x:c r="I586" s="14">
        <x:v>5</x:v>
      </x:c>
      <x:c r="J586" s="13" t="inlineStr">
        <x:is>
          <x:t xml:space="preserve">21/49</x:t>
        </x:is>
      </x:c>
      <x:c r="K586" s="1"/>
      <x:c r="L586" s="1"/>
    </x:row>
    <x:row r="587" ht="22" customHeight="1">
      <x:c r="A587" s="93" t="n">
        <x:v>46009</x:v>
      </x:c>
      <x:c r="B587" s="24" t="n">
        <x:v>2025</x:v>
      </x:c>
      <x:c r="C587" s="16">
        <x:v>5377</x:v>
      </x:c>
      <x:c r="D587" s="16">
        <x:v>3</x:v>
      </x:c>
      <x:c r="E587" s="16">
        <x:v>0</x:v>
      </x:c>
      <x:c r="F587" s="16">
        <x:v>1</x:v>
      </x:c>
      <x:c r="G587" s="16">
        <x:v>0</x:v>
      </x:c>
      <x:c r="H587" s="16">
        <x:v>159</x:v>
      </x:c>
      <x:c r="I587" s="16">
        <x:v>2</x:v>
      </x:c>
      <x:c r="J587" s="15" t="inlineStr">
        <x:is>
          <x:t xml:space="preserve">21/50</x:t>
        </x:is>
      </x:c>
      <x:c r="K587" s="1"/>
      <x:c r="L587" s="1"/>
    </x:row>
    <x:row r="588" ht="22" customHeight="1">
      <x:c r="A588" s="94" t="n">
        <x:v>46010</x:v>
      </x:c>
      <x:c r="B588" s="39" t="n">
        <x:v>2025</x:v>
      </x:c>
      <x:c r="C588" s="18">
        <x:v>3257</x:v>
      </x:c>
      <x:c r="D588" s="18">
        <x:v>4</x:v>
      </x:c>
      <x:c r="E588" s="18">
        <x:v>0</x:v>
      </x:c>
      <x:c r="F588" s="18">
        <x:v>4</x:v>
      </x:c>
      <x:c r="G588" s="18">
        <x:v>0</x:v>
      </x:c>
      <x:c r="H588" s="18">
        <x:v>94</x:v>
      </x:c>
      <x:c r="I588" s="18">
        <x:v>3</x:v>
      </x:c>
      <x:c r="J588" s="17" t="inlineStr">
        <x:is>
          <x:t xml:space="preserve">21/51</x:t>
        </x:is>
      </x:c>
      <x:c r="K588" s="1"/>
      <x:c r="L588" s="1"/>
    </x:row>
    <x:row r="589" ht="22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</x:row>
    <x:row r="590" ht="22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</x:row>
  </x:sheetData>
  <x:pageMargins left="0.7" right="0.7" top="0.75" bottom="0.75" header="0.3" footer="0.3"/>
  <x:tableParts count="2">
    <x:tablePart xmlns:r="http://schemas.openxmlformats.org/officeDocument/2006/relationships" r:id="Rec230c2cbf914677"/>
    <x:tablePart xmlns:r="http://schemas.openxmlformats.org/officeDocument/2006/relationships" r:id="R65b79dbf97de4c8a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9" hidden="0" customWidth="1"/>
    <x:col min="2" max="2" width="26" hidden="0" customWidth="1"/>
    <x:col min="3" max="3" width="73" hidden="0" customWidth="1"/>
    <x:col min="4" max="4" width="49" hidden="0" customWidth="1"/>
  </x:cols>
  <x:sheetData>
    <x:row r="1" ht="10" customHeight="1">
      <x:c r="A1"/>
      <x:c r="B1"/>
      <x:c r="C1"/>
      <x:c r="D1"/>
    </x:row>
    <x:row r="2" ht="30" customHeight="1">
      <x:c r="A2" s="19" t="str">
        <x:v>Regeln der berichteten Ergänzungsauswertungen</x:v>
      </x:c>
      <x:c r="B2" s="19"/>
      <x:c r="C2" s="19"/>
      <x:c r="D2" s="19"/>
    </x:row>
    <x:row r="3" ht="22" customHeight="1">
      <x:c r="A3"/>
      <x:c r="B3"/>
      <x:c r="C3"/>
      <x:c r="D3"/>
    </x:row>
    <x:row r="4" ht="22" customHeight="1">
      <x:c r="A4" s="63" t="str">
        <x:v>Die Themenflags werden aus dem Satzmaster übernommen. Diese Übersicht definiert die Auswahl in den Ergebnisblättern; die vollständigen Wörterbücher liegen unter dictionaries/.</x:v>
      </x:c>
      <x:c r="B4" s="63"/>
      <x:c r="C4" s="63"/>
      <x:c r="D4" s="63"/>
    </x:row>
    <x:row r="5" ht="22" customHeight="1">
      <x:c r="A5" s="63"/>
      <x:c r="B5" s="63"/>
      <x:c r="C5" s="63"/>
      <x:c r="D5" s="63"/>
    </x:row>
    <x:row r="6" ht="22" customHeight="1">
      <x:c r="A6"/>
      <x:c r="B6"/>
      <x:c r="C6"/>
      <x:c r="D6"/>
    </x:row>
    <x:row r="7" ht="47" customHeight="1">
      <x:c r="A7" s="7" t="str">
        <x:v>Auswahl</x:v>
      </x:c>
      <x:c r="B7" s="7" t="str">
        <x:v>Verfahren</x:v>
      </x:c>
      <x:c r="C7" s="7" t="str">
        <x:v>Technische Definition</x:v>
      </x:c>
      <x:c r="D7" s="7" t="str">
        <x:v>Zählregel</x:v>
      </x:c>
    </x:row>
    <x:row r="8" ht="49" customHeight="1">
      <x:c r="A8" s="9" t="str">
        <x:v>Preise und Kosten</x:v>
      </x:c>
      <x:c r="B8" s="9" t="str">
        <x:v>Wörterbuchkategorie</x:v>
      </x:c>
      <x:c r="C8" s="9" t="str">
        <x:v>oekonomie_G1 = 1</x:v>
      </x:c>
      <x:c r="D8" s="9" t="str">
        <x:v>Je Satz einmal; gültige Kategoriezuordnung.</x:v>
      </x:c>
    </x:row>
    <x:row r="9" ht="49" customHeight="1">
      <x:c r="A9" s="8" t="str">
        <x:v>Agrardiesel / Rückvergütung</x:v>
      </x:c>
      <x:c r="B9" s="8" t="str">
        <x:v>Wörterbuchkategorie</x:v>
      </x:c>
      <x:c r="C9" s="8" t="str">
        <x:v>oekonomie_G7 = 1</x:v>
      </x:c>
      <x:c r="D9" s="8" t="str">
        <x:v>Je Satz einmal; gültige Kategoriezuordnung.</x:v>
      </x:c>
    </x:row>
    <x:row r="10" ht="49" customHeight="1">
      <x:c r="A10" s="9" t="str">
        <x:v>Ernährungssicherheit</x:v>
      </x:c>
      <x:c r="B10" s="9" t="str">
        <x:v>Wörterbuchkategorie</x:v>
      </x:c>
      <x:c r="C10" s="9" t="str">
        <x:v>sicherheit_resilienz_SR1 = 1</x:v>
      </x:c>
      <x:c r="D10" s="9" t="str">
        <x:v>Je Satz einmal; gültige Kategoriezuordnung.</x:v>
      </x:c>
    </x:row>
    <x:row r="11" ht="49" customHeight="1">
      <x:c r="A11" s="8" t="str">
        <x:v>Amtsrollen</x:v>
      </x:c>
      <x:c r="B11" s="8" t="str">
        <x:v>Metadatenprüfung</x:v>
      </x:c>
      <x:c r="C11" s="8" t="str">
        <x:v>redner_rolle_kurz oder redner_rolle_lang nicht leer</x:v>
      </x:c>
      <x:c r="D11" s="8" t="str">
        <x:v>Beitragsrolle, keine dauerhafte Personeneigenschaft.</x:v>
      </x:c>
    </x:row>
    <x:row r="12" ht="49" customHeight="1">
      <x:c r="A12" s="9" t="str">
        <x:v>Agrardiesel am 20. März 2024</x:v>
      </x:c>
      <x:c r="B12" s="9" t="str">
        <x:v>Kategorie und Sitzungsdatum</x:v>
      </x:c>
      <x:c r="C12" s="9" t="str">
        <x:v>oekonomie_G7 = 1 und sitzung_datum = 2024-03-20</x:v>
      </x:c>
      <x:c r="D12" s="9" t="str">
        <x:v>Je Satzvorkommen einmal; wie in der Hauptauswertung.</x:v>
      </x:c>
    </x:row>
    <x:row r="13" ht="42" customHeight="1">
      <x:c r="A13"/>
      <x:c r="B13"/>
      <x:c r="C13"/>
      <x:c r="D13"/>
    </x:row>
    <x:row r="14" ht="30" customHeight="1">
      <x:c r="A14" s="19" t="str">
        <x:v>Drei ergänzende Textsuchen</x:v>
      </x:c>
      <x:c r="B14" s="19"/>
      <x:c r="C14" s="19"/>
      <x:c r="D14" s="19"/>
    </x:row>
    <x:row r="15" ht="47" customHeight="1">
      <x:c r="A15" s="7" t="str">
        <x:v>Auswahl</x:v>
      </x:c>
      <x:c r="B15" s="7" t="str">
        <x:v>Verfahren</x:v>
      </x:c>
      <x:c r="C15" s="7" t="str">
        <x:v>Python-RegEx</x:v>
      </x:c>
      <x:c r="D15" s="7" t="str">
        <x:v>Zählregel</x:v>
      </x:c>
    </x:row>
    <x:row r="16" ht="49" customHeight="1">
      <x:c r="A16" s="9" t="str">
        <x:v>Fleischindustrie / Fleischwirtschaft</x:v>
      </x:c>
      <x:c r="B16" s="9" t="str">
        <x:v>Ergänzende Textsuche</x:v>
      </x:c>
      <x:c r="C16" s="9" t="str">
        <x:v>\b(?:fleischindustrie|fleischwirtschaft)\w*</x:v>
      </x:c>
      <x:c r="D16" s="9" t="str">
        <x:v>Kleinschreibung; Leerraum vereinheitlicht; einmal pro Satz.</x:v>
      </x:c>
    </x:row>
    <x:row r="17" ht="49" customHeight="1">
      <x:c r="A17" s="8" t="str">
        <x:v>Pestizid</x:v>
      </x:c>
      <x:c r="B17" s="8" t="str">
        <x:v>Ergänzende Textsuche</x:v>
      </x:c>
      <x:c r="C17" s="8" t="str">
        <x:v>\bpestizid\w*</x:v>
      </x:c>
      <x:c r="D17" s="8" t="str">
        <x:v>Kleinschreibung; Wortanfang; einmal pro Satz.</x:v>
      </x:c>
    </x:row>
    <x:row r="18" ht="49" customHeight="1">
      <x:c r="A18" s="9" t="str">
        <x:v>Pflanzenschutzmittel</x:v>
      </x:c>
      <x:c r="B18" s="9" t="str">
        <x:v>Ergänzende Textsuche</x:v>
      </x:c>
      <x:c r="C18" s="9" t="str">
        <x:v>\bpflanzenschutzmittel\w*</x:v>
      </x:c>
      <x:c r="D18" s="9" t="str">
        <x:v>Kleinschreibung; Wortanfang; einmal pro Satz.</x:v>
      </x:c>
    </x:row>
    <x:row r="19" ht="38" customHeight="1">
      <x:c r="A19"/>
      <x:c r="B19"/>
      <x:c r="C19"/>
      <x:c r="D19"/>
    </x:row>
    <x:row r="20" ht="38" customHeight="1">
      <x:c r="A20" s="63" t="str">
        <x:v>Die Wortwahl zählt ausdrücklich Textvorkommen, unabhängig davon, welcher Wörterbucheintrag die Themenzuordnung ausgelöst hat. Die drei Textsuchen verändern keine Themenzuordnung.</x:v>
      </x:c>
      <x:c r="B20" s="63"/>
      <x:c r="C20" s="63"/>
      <x:c r="D20" s="63"/>
    </x:row>
    <x:row r="21" ht="38" customHeight="1">
      <x:c r="A21" s="63"/>
      <x:c r="B21" s="63"/>
      <x:c r="C21" s="63"/>
      <x:c r="D21" s="63"/>
    </x:row>
    <x:row r="22" ht="38" customHeight="1">
      <x:c r="A22"/>
      <x:c r="B22"/>
      <x:c r="C22"/>
      <x:c r="D22"/>
    </x:row>
    <x:row r="23" ht="38" customHeight="1">
      <x:c r="A23"/>
      <x:c r="B23"/>
      <x:c r="C23"/>
      <x:c r="D23"/>
    </x:row>
    <x:row r="24" ht="38" customHeight="1">
      <x:c r="A24"/>
      <x:c r="B24"/>
      <x:c r="C24"/>
      <x:c r="D24"/>
    </x:row>
    <x:row r="25" ht="38" customHeight="1">
      <x:c r="A25"/>
      <x:c r="B25"/>
      <x:c r="C25"/>
      <x:c r="D25"/>
    </x:row>
    <x:row r="26" ht="38" customHeight="1">
      <x:c r="A26"/>
      <x:c r="B26"/>
      <x:c r="C26"/>
      <x:c r="D26"/>
    </x:row>
    <x:row r="27" ht="38" customHeight="1">
      <x:c r="A27"/>
      <x:c r="B27"/>
      <x:c r="C27"/>
      <x:c r="D27"/>
    </x:row>
    <x:row r="28" ht="38" customHeight="1">
      <x:c r="A28"/>
      <x:c r="B28"/>
      <x:c r="C28"/>
      <x:c r="D28"/>
    </x:row>
    <x:row r="29" ht="42" customHeight="1">
      <x:c r="A29"/>
      <x:c r="B29"/>
      <x:c r="C29"/>
      <x:c r="D29"/>
    </x:row>
    <x:row r="30" ht="38" customHeight="1">
      <x:c r="A30"/>
      <x:c r="B30"/>
      <x:c r="C30"/>
      <x:c r="D30"/>
    </x:row>
    <x:row r="31" ht="38" customHeight="1">
      <x:c r="A31"/>
      <x:c r="B31"/>
      <x:c r="C31"/>
      <x:c r="D31"/>
    </x:row>
    <x:row r="32" ht="38" customHeight="1">
      <x:c r="A32"/>
      <x:c r="B32"/>
      <x:c r="C32"/>
      <x:c r="D32"/>
    </x:row>
    <x:row r="33" ht="57" customHeight="1">
      <x:c r="A33"/>
      <x:c r="B33"/>
      <x:c r="C33"/>
      <x:c r="D33"/>
    </x:row>
    <x:row r="34" ht="42" customHeight="1">
      <x:c r="A34"/>
      <x:c r="B34"/>
      <x:c r="C34"/>
      <x:c r="D34"/>
    </x:row>
    <x:row r="35" ht="42" customHeight="1">
      <x:c r="A35"/>
      <x:c r="B35"/>
      <x:c r="C35"/>
      <x:c r="D35"/>
    </x:row>
    <x:row r="36" ht="72" customHeight="1">
      <x:c r="A36"/>
      <x:c r="B36"/>
      <x:c r="C36"/>
      <x:c r="D36"/>
    </x:row>
    <x:row r="37" ht="38" customHeight="1">
      <x:c r="A37"/>
      <x:c r="B37"/>
      <x:c r="C37"/>
      <x:c r="D37"/>
    </x:row>
    <x:row r="38" ht="38" customHeight="1">
      <x:c r="A38"/>
      <x:c r="B38"/>
      <x:c r="C38"/>
      <x:c r="D38"/>
    </x:row>
    <x:row r="39" ht="38" customHeight="1">
      <x:c r="A39"/>
      <x:c r="B39"/>
      <x:c r="C39"/>
      <x:c r="D39"/>
    </x:row>
    <x:row r="40" ht="38" customHeight="1">
      <x:c r="A40"/>
      <x:c r="B40"/>
      <x:c r="C40"/>
      <x:c r="D40"/>
    </x:row>
    <x:row r="41" ht="38" customHeight="1">
      <x:c r="A41"/>
      <x:c r="B41"/>
      <x:c r="C41"/>
      <x:c r="D41"/>
    </x:row>
    <x:row r="42" ht="38" customHeight="1">
      <x:c r="A42"/>
      <x:c r="B42"/>
      <x:c r="C42"/>
      <x:c r="D42"/>
    </x:row>
    <x:row r="43" ht="38" customHeight="1">
      <x:c r="A43"/>
      <x:c r="B43"/>
      <x:c r="C43"/>
      <x:c r="D43"/>
    </x:row>
    <x:row r="44" ht="38" customHeight="1">
      <x:c r="A44"/>
      <x:c r="B44"/>
      <x:c r="C44"/>
      <x:c r="D44"/>
    </x:row>
    <x:row r="45" ht="38" customHeight="1">
      <x:c r="A45"/>
      <x:c r="B45"/>
      <x:c r="C45"/>
      <x:c r="D45"/>
    </x:row>
    <x:row r="46" ht="52.5" customHeight="1">
      <x:c r="A46"/>
      <x:c r="B46"/>
      <x:c r="C46"/>
      <x:c r="D46"/>
    </x:row>
    <x:row r="47" ht="52.5" customHeight="1">
      <x:c r="A47"/>
      <x:c r="B47"/>
      <x:c r="C47"/>
      <x:c r="D47"/>
    </x:row>
    <x:row r="48" ht="52.5" customHeight="1">
      <x:c r="A48"/>
      <x:c r="B48"/>
      <x:c r="C48"/>
      <x:c r="D48"/>
    </x:row>
    <x:row r="49" ht="52.5" customHeight="1">
      <x:c r="A49"/>
      <x:c r="B49"/>
      <x:c r="C49"/>
      <x:c r="D49"/>
    </x:row>
    <x:row r="50" ht="52.5" customHeight="1">
      <x:c r="A50"/>
      <x:c r="B50"/>
      <x:c r="C50"/>
      <x:c r="D50"/>
    </x:row>
    <x:row r="51" ht="52.5" customHeight="1">
      <x:c r="A51"/>
      <x:c r="B51"/>
      <x:c r="C51"/>
      <x:c r="D51"/>
    </x:row>
    <x:row r="52" ht="39" customHeight="1">
      <x:c r="A52"/>
      <x:c r="B52"/>
      <x:c r="C52"/>
      <x:c r="D52"/>
    </x:row>
    <x:row r="53" ht="39" customHeight="1">
      <x:c r="A53"/>
      <x:c r="B53"/>
      <x:c r="C53"/>
      <x:c r="D53"/>
    </x:row>
    <x:row r="54" ht="22" customHeight="1">
      <x:c r="A54"/>
      <x:c r="B54"/>
      <x:c r="C54"/>
      <x:c r="D54"/>
    </x:row>
    <x:row r="55" ht="22" customHeight="1">
      <x:c r="A55"/>
      <x:c r="B55"/>
      <x:c r="C55"/>
      <x:c r="D55"/>
    </x:row>
    <x:row r="56" ht="26" customHeight="1">
      <x:c r="A56"/>
      <x:c r="B56"/>
      <x:c r="C56"/>
      <x:c r="D56"/>
    </x:row>
    <x:row r="57" ht="54" customHeight="1">
      <x:c r="A57"/>
      <x:c r="B57"/>
      <x:c r="C57"/>
      <x:c r="D57"/>
    </x:row>
    <x:row r="58" ht="52.5" customHeight="1">
      <x:c r="A58"/>
      <x:c r="B58"/>
      <x:c r="C58"/>
      <x:c r="D58"/>
    </x:row>
    <x:row r="59" ht="52.5" customHeight="1">
      <x:c r="A59"/>
      <x:c r="B59"/>
      <x:c r="C59"/>
      <x:c r="D59"/>
    </x:row>
    <x:row r="60" ht="52.5" customHeight="1">
      <x:c r="A60"/>
      <x:c r="B60"/>
      <x:c r="C60"/>
      <x:c r="D60"/>
    </x:row>
    <x:row r="61" ht="52.5" customHeight="1">
      <x:c r="A61"/>
      <x:c r="B61"/>
      <x:c r="C61"/>
      <x:c r="D61"/>
    </x:row>
    <x:row r="62" ht="52.5" customHeight="1">
      <x:c r="A62"/>
      <x:c r="B62"/>
      <x:c r="C62"/>
      <x:c r="D62"/>
    </x:row>
    <x:row r="63" ht="52.5" customHeight="1">
      <x:c r="A63"/>
      <x:c r="B63"/>
      <x:c r="C63"/>
      <x:c r="D63"/>
    </x:row>
    <x:row r="64" ht="52.5" customHeight="1">
      <x:c r="A64"/>
      <x:c r="B64"/>
      <x:c r="C64"/>
      <x:c r="D64"/>
    </x:row>
    <x:row r="65" ht="52.5" customHeight="1">
      <x:c r="A65"/>
      <x:c r="B65"/>
      <x:c r="C65"/>
      <x:c r="D65"/>
    </x:row>
    <x:row r="66" ht="52.5" customHeight="1">
      <x:c r="A66"/>
      <x:c r="B66"/>
      <x:c r="C66"/>
      <x:c r="D66"/>
    </x:row>
    <x:row r="67" ht="22" customHeight="1">
      <x:c r="A67"/>
      <x:c r="B67"/>
      <x:c r="C67"/>
      <x:c r="D67"/>
    </x:row>
    <x:row r="68" ht="22" customHeight="1">
      <x:c r="A68"/>
      <x:c r="B68"/>
      <x:c r="C68"/>
      <x:c r="D68"/>
    </x:row>
    <x:row r="69" ht="26" customHeight="1">
      <x:c r="A69"/>
      <x:c r="B69"/>
      <x:c r="C69"/>
      <x:c r="D69"/>
    </x:row>
    <x:row r="70" ht="54" customHeight="1">
      <x:c r="A70"/>
      <x:c r="B70"/>
      <x:c r="C70"/>
      <x:c r="D70"/>
    </x:row>
    <x:row r="71" ht="34" customHeight="1">
      <x:c r="A71"/>
      <x:c r="B71"/>
      <x:c r="C71"/>
      <x:c r="D71"/>
    </x:row>
    <x:row r="72" ht="39" customHeight="1">
      <x:c r="A72"/>
      <x:c r="B72"/>
      <x:c r="C72"/>
      <x:c r="D72"/>
    </x:row>
    <x:row r="73" ht="34" customHeight="1">
      <x:c r="A73"/>
      <x:c r="B73"/>
      <x:c r="C73"/>
      <x:c r="D73"/>
    </x:row>
    <x:row r="74" ht="34" customHeight="1">
      <x:c r="A74"/>
      <x:c r="B74"/>
      <x:c r="C74"/>
      <x:c r="D74"/>
    </x:row>
    <x:row r="75" ht="34" customHeight="1">
      <x:c r="A75"/>
      <x:c r="B75"/>
      <x:c r="C75"/>
      <x:c r="D75"/>
    </x:row>
    <x:row r="76" ht="39" customHeight="1">
      <x:c r="A76"/>
      <x:c r="B76"/>
      <x:c r="C76"/>
      <x:c r="D76"/>
    </x:row>
    <x:row r="77" ht="34" customHeight="1">
      <x:c r="A77"/>
      <x:c r="B77"/>
      <x:c r="C77"/>
      <x:c r="D77"/>
    </x:row>
    <x:row r="78" ht="39" customHeight="1">
      <x:c r="A78"/>
      <x:c r="B78"/>
      <x:c r="C78"/>
      <x:c r="D78"/>
    </x:row>
    <x:row r="79" ht="34" customHeight="1">
      <x:c r="A79"/>
      <x:c r="B79"/>
      <x:c r="C79"/>
      <x:c r="D79"/>
    </x:row>
    <x:row r="80" ht="39" customHeight="1">
      <x:c r="A80"/>
      <x:c r="B80"/>
      <x:c r="C80"/>
      <x:c r="D80"/>
    </x:row>
    <x:row r="81" ht="34" customHeight="1">
      <x:c r="A81"/>
      <x:c r="B81"/>
      <x:c r="C81"/>
      <x:c r="D81"/>
    </x:row>
    <x:row r="82" ht="34" customHeight="1">
      <x:c r="A82"/>
      <x:c r="B82"/>
      <x:c r="C82"/>
      <x:c r="D82"/>
    </x:row>
    <x:row r="83" ht="34" customHeight="1">
      <x:c r="A83"/>
      <x:c r="B83"/>
      <x:c r="C83"/>
      <x:c r="D83"/>
    </x:row>
    <x:row r="84" ht="34" customHeight="1">
      <x:c r="A84"/>
      <x:c r="B84"/>
      <x:c r="C84"/>
      <x:c r="D84"/>
    </x:row>
    <x:row r="85" ht="34" customHeight="1">
      <x:c r="A85"/>
      <x:c r="B85"/>
      <x:c r="C85"/>
      <x:c r="D85"/>
    </x:row>
    <x:row r="86" ht="34" customHeight="1">
      <x:c r="A86"/>
      <x:c r="B86"/>
      <x:c r="C86"/>
      <x:c r="D86"/>
    </x:row>
    <x:row r="87" ht="34" customHeight="1">
      <x:c r="A87"/>
      <x:c r="B87"/>
      <x:c r="C87"/>
      <x:c r="D87"/>
    </x:row>
    <x:row r="88" ht="34" customHeight="1">
      <x:c r="A88"/>
      <x:c r="B88"/>
      <x:c r="C88"/>
      <x:c r="D88"/>
    </x:row>
    <x:row r="89" ht="34" customHeight="1">
      <x:c r="A89"/>
      <x:c r="B89"/>
      <x:c r="C89"/>
      <x:c r="D89"/>
    </x:row>
    <x:row r="90" ht="39" customHeight="1">
      <x:c r="A90"/>
      <x:c r="B90"/>
      <x:c r="C90"/>
      <x:c r="D90"/>
    </x:row>
    <x:row r="91" ht="34" customHeight="1">
      <x:c r="A91"/>
      <x:c r="B91"/>
      <x:c r="C91"/>
      <x:c r="D91"/>
    </x:row>
    <x:row r="92" ht="34" customHeight="1">
      <x:c r="A92"/>
      <x:c r="B92"/>
      <x:c r="C92"/>
      <x:c r="D92"/>
    </x:row>
    <x:row r="93" ht="34" customHeight="1">
      <x:c r="A93"/>
      <x:c r="B93"/>
      <x:c r="C93"/>
      <x:c r="D93"/>
    </x:row>
    <x:row r="94" ht="34" customHeight="1">
      <x:c r="A94"/>
      <x:c r="B94"/>
      <x:c r="C94"/>
      <x:c r="D94"/>
    </x:row>
    <x:row r="95" ht="34" customHeight="1">
      <x:c r="A95"/>
      <x:c r="B95"/>
      <x:c r="C95"/>
      <x:c r="D95"/>
    </x:row>
    <x:row r="96" ht="34" customHeight="1">
      <x:c r="A96"/>
      <x:c r="B96"/>
      <x:c r="C96"/>
      <x:c r="D96"/>
    </x:row>
    <x:row r="97" ht="34" customHeight="1">
      <x:c r="A97"/>
      <x:c r="B97"/>
      <x:c r="C97"/>
      <x:c r="D97"/>
    </x:row>
    <x:row r="98" ht="34" customHeight="1">
      <x:c r="A98"/>
      <x:c r="B98"/>
      <x:c r="C98"/>
      <x:c r="D98"/>
    </x:row>
    <x:row r="99" ht="34" customHeight="1">
      <x:c r="A99"/>
      <x:c r="B99"/>
      <x:c r="C99"/>
      <x:c r="D99"/>
    </x:row>
    <x:row r="100" ht="34" customHeight="1">
      <x:c r="A100"/>
      <x:c r="B100"/>
      <x:c r="C100"/>
      <x:c r="D100"/>
    </x:row>
    <x:row r="101" ht="34" customHeight="1">
      <x:c r="A101"/>
      <x:c r="B101"/>
      <x:c r="C101"/>
      <x:c r="D101"/>
    </x:row>
    <x:row r="102" ht="34" customHeight="1">
      <x:c r="A102"/>
      <x:c r="B102"/>
      <x:c r="C102"/>
      <x:c r="D102"/>
    </x:row>
    <x:row r="103" ht="34" customHeight="1">
      <x:c r="A103"/>
      <x:c r="B103"/>
      <x:c r="C103"/>
      <x:c r="D103"/>
    </x:row>
    <x:row r="104" ht="34" customHeight="1">
      <x:c r="A104"/>
      <x:c r="B104"/>
      <x:c r="C104"/>
      <x:c r="D104"/>
    </x:row>
    <x:row r="105" ht="34" customHeight="1">
      <x:c r="A105"/>
      <x:c r="B105"/>
      <x:c r="C105"/>
      <x:c r="D105"/>
    </x:row>
    <x:row r="106" ht="34" customHeight="1">
      <x:c r="A106"/>
      <x:c r="B106"/>
      <x:c r="C106"/>
      <x:c r="D106"/>
    </x:row>
    <x:row r="107" ht="34" customHeight="1">
      <x:c r="A107"/>
      <x:c r="B107"/>
      <x:c r="C107"/>
      <x:c r="D107"/>
    </x:row>
    <x:row r="108" ht="34" customHeight="1">
      <x:c r="A108"/>
      <x:c r="B108"/>
      <x:c r="C108"/>
      <x:c r="D108"/>
    </x:row>
    <x:row r="109" ht="34" customHeight="1">
      <x:c r="A109"/>
      <x:c r="B109"/>
      <x:c r="C109"/>
      <x:c r="D109"/>
    </x:row>
    <x:row r="110" ht="34" customHeight="1">
      <x:c r="A110"/>
      <x:c r="B110"/>
      <x:c r="C110"/>
      <x:c r="D110"/>
    </x:row>
    <x:row r="111" ht="34" customHeight="1">
      <x:c r="A111"/>
      <x:c r="B111"/>
      <x:c r="C111"/>
      <x:c r="D111"/>
    </x:row>
    <x:row r="112" ht="34" customHeight="1">
      <x:c r="A112"/>
      <x:c r="B112"/>
      <x:c r="C112"/>
      <x:c r="D112"/>
    </x:row>
    <x:row r="113" ht="34" customHeight="1">
      <x:c r="A113"/>
      <x:c r="B113"/>
      <x:c r="C113"/>
      <x:c r="D113"/>
    </x:row>
    <x:row r="114" ht="34" customHeight="1">
      <x:c r="A114"/>
      <x:c r="B114"/>
      <x:c r="C114"/>
      <x:c r="D114"/>
    </x:row>
    <x:row r="115" ht="34" customHeight="1">
      <x:c r="A115"/>
      <x:c r="B115"/>
      <x:c r="C115"/>
      <x:c r="D115"/>
    </x:row>
    <x:row r="116" ht="34" customHeight="1">
      <x:c r="A116"/>
      <x:c r="B116"/>
      <x:c r="C116"/>
      <x:c r="D116"/>
    </x:row>
    <x:row r="117" ht="34" customHeight="1">
      <x:c r="A117"/>
      <x:c r="B117"/>
      <x:c r="C117"/>
      <x:c r="D117"/>
    </x:row>
    <x:row r="118" ht="34" customHeight="1">
      <x:c r="A118"/>
      <x:c r="B118"/>
      <x:c r="C118"/>
      <x:c r="D118"/>
    </x:row>
    <x:row r="119" ht="34" customHeight="1">
      <x:c r="A119"/>
      <x:c r="B119"/>
      <x:c r="C119"/>
      <x:c r="D119"/>
    </x:row>
    <x:row r="120" ht="34" customHeight="1">
      <x:c r="A120"/>
      <x:c r="B120"/>
      <x:c r="C120"/>
      <x:c r="D120"/>
    </x:row>
    <x:row r="121" ht="34" customHeight="1">
      <x:c r="A121"/>
      <x:c r="B121"/>
      <x:c r="C121"/>
      <x:c r="D121"/>
    </x:row>
    <x:row r="122" ht="34" customHeight="1">
      <x:c r="A122"/>
      <x:c r="B122"/>
      <x:c r="C122"/>
      <x:c r="D122"/>
    </x:row>
    <x:row r="123" ht="34" customHeight="1">
      <x:c r="A123"/>
      <x:c r="B123"/>
      <x:c r="C123"/>
      <x:c r="D123"/>
    </x:row>
    <x:row r="124" ht="34" customHeight="1">
      <x:c r="A124"/>
      <x:c r="B124"/>
      <x:c r="C124"/>
      <x:c r="D124"/>
    </x:row>
    <x:row r="125" ht="34" customHeight="1">
      <x:c r="A125"/>
      <x:c r="B125"/>
      <x:c r="C125"/>
      <x:c r="D125"/>
    </x:row>
    <x:row r="126" ht="34" customHeight="1">
      <x:c r="A126"/>
      <x:c r="B126"/>
      <x:c r="C126"/>
      <x:c r="D126"/>
    </x:row>
    <x:row r="127" ht="34" customHeight="1">
      <x:c r="A127"/>
      <x:c r="B127"/>
      <x:c r="C127"/>
      <x:c r="D127"/>
    </x:row>
    <x:row r="128" ht="34" customHeight="1">
      <x:c r="A128"/>
      <x:c r="B128"/>
      <x:c r="C128"/>
      <x:c r="D128"/>
    </x:row>
    <x:row r="129" ht="34" customHeight="1">
      <x:c r="A129"/>
      <x:c r="B129"/>
      <x:c r="C129"/>
      <x:c r="D129"/>
    </x:row>
    <x:row r="130" ht="34" customHeight="1">
      <x:c r="A130"/>
      <x:c r="B130"/>
      <x:c r="C130"/>
      <x:c r="D130"/>
    </x:row>
    <x:row r="131" ht="34" customHeight="1">
      <x:c r="A131"/>
      <x:c r="B131"/>
      <x:c r="C131"/>
      <x:c r="D131"/>
    </x:row>
    <x:row r="132" ht="34" customHeight="1">
      <x:c r="A132"/>
      <x:c r="B132"/>
      <x:c r="C132"/>
      <x:c r="D132"/>
    </x:row>
    <x:row r="133" ht="34" customHeight="1">
      <x:c r="A133"/>
      <x:c r="B133"/>
      <x:c r="C133"/>
      <x:c r="D133"/>
    </x:row>
    <x:row r="134" ht="34" customHeight="1">
      <x:c r="A134"/>
      <x:c r="B134"/>
      <x:c r="C134"/>
      <x:c r="D134"/>
    </x:row>
    <x:row r="135" ht="34" customHeight="1">
      <x:c r="A135"/>
      <x:c r="B135"/>
      <x:c r="C135"/>
      <x:c r="D135"/>
    </x:row>
    <x:row r="136" ht="34" customHeight="1">
      <x:c r="A136"/>
      <x:c r="B136"/>
      <x:c r="C136"/>
      <x:c r="D136"/>
    </x:row>
    <x:row r="137" ht="34" customHeight="1">
      <x:c r="A137"/>
      <x:c r="B137"/>
      <x:c r="C137"/>
      <x:c r="D137"/>
    </x:row>
    <x:row r="138" ht="34" customHeight="1">
      <x:c r="A138"/>
      <x:c r="B138"/>
      <x:c r="C138"/>
      <x:c r="D138"/>
    </x:row>
    <x:row r="139" ht="34" customHeight="1">
      <x:c r="A139"/>
      <x:c r="B139"/>
      <x:c r="C139"/>
      <x:c r="D139"/>
    </x:row>
    <x:row r="140" ht="34" customHeight="1">
      <x:c r="A140"/>
      <x:c r="B140"/>
      <x:c r="C140"/>
      <x:c r="D140"/>
    </x:row>
    <x:row r="141" ht="34" customHeight="1">
      <x:c r="A141"/>
      <x:c r="B141"/>
      <x:c r="C141"/>
      <x:c r="D141"/>
    </x:row>
    <x:row r="142" ht="34" customHeight="1">
      <x:c r="A142"/>
      <x:c r="B142"/>
      <x:c r="C142"/>
      <x:c r="D142"/>
    </x:row>
    <x:row r="143" ht="34" customHeight="1">
      <x:c r="A143"/>
      <x:c r="B143"/>
      <x:c r="C143"/>
      <x:c r="D143"/>
    </x:row>
    <x:row r="144" ht="34" customHeight="1">
      <x:c r="A144"/>
      <x:c r="B144"/>
      <x:c r="C144"/>
      <x:c r="D144"/>
    </x:row>
    <x:row r="145" ht="34" customHeight="1">
      <x:c r="A145"/>
      <x:c r="B145"/>
      <x:c r="C145"/>
      <x:c r="D145"/>
    </x:row>
    <x:row r="146" ht="34" customHeight="1">
      <x:c r="A146"/>
      <x:c r="B146"/>
      <x:c r="C146"/>
      <x:c r="D146"/>
    </x:row>
    <x:row r="147" ht="34" customHeight="1">
      <x:c r="A147"/>
      <x:c r="B147"/>
      <x:c r="C147"/>
      <x:c r="D147"/>
    </x:row>
    <x:row r="148" ht="34" customHeight="1">
      <x:c r="A148"/>
      <x:c r="B148"/>
      <x:c r="C148"/>
      <x:c r="D148"/>
    </x:row>
    <x:row r="149" ht="34" customHeight="1">
      <x:c r="A149"/>
      <x:c r="B149"/>
      <x:c r="C149"/>
      <x:c r="D149"/>
    </x:row>
    <x:row r="150" ht="34" customHeight="1">
      <x:c r="A150"/>
      <x:c r="B150"/>
      <x:c r="C150"/>
      <x:c r="D150"/>
    </x:row>
    <x:row r="151" ht="34" customHeight="1">
      <x:c r="A151"/>
      <x:c r="B151"/>
      <x:c r="C151"/>
      <x:c r="D151"/>
    </x:row>
    <x:row r="152" ht="34" customHeight="1">
      <x:c r="A152"/>
      <x:c r="B152"/>
      <x:c r="C152"/>
      <x:c r="D152"/>
    </x:row>
    <x:row r="153" ht="34" customHeight="1">
      <x:c r="A153"/>
      <x:c r="B153"/>
      <x:c r="C153"/>
      <x:c r="D153"/>
    </x:row>
    <x:row r="154" ht="34" customHeight="1">
      <x:c r="A154"/>
      <x:c r="B154"/>
      <x:c r="C154"/>
      <x:c r="D154"/>
    </x:row>
    <x:row r="155" ht="34" customHeight="1">
      <x:c r="A155"/>
      <x:c r="B155"/>
      <x:c r="C155"/>
      <x:c r="D155"/>
    </x:row>
    <x:row r="156" ht="34" customHeight="1">
      <x:c r="A156"/>
      <x:c r="B156"/>
      <x:c r="C156"/>
      <x:c r="D156"/>
    </x:row>
    <x:row r="157" ht="34" customHeight="1">
      <x:c r="A157"/>
      <x:c r="B157"/>
      <x:c r="C157"/>
      <x:c r="D157"/>
    </x:row>
    <x:row r="158" ht="34" customHeight="1">
      <x:c r="A158"/>
      <x:c r="B158"/>
      <x:c r="C158"/>
      <x:c r="D158"/>
    </x:row>
    <x:row r="159" ht="34" customHeight="1">
      <x:c r="A159"/>
      <x:c r="B159"/>
      <x:c r="C159"/>
      <x:c r="D159"/>
    </x:row>
    <x:row r="160" ht="34" customHeight="1">
      <x:c r="A160"/>
      <x:c r="B160"/>
      <x:c r="C160"/>
      <x:c r="D160"/>
    </x:row>
    <x:row r="161" ht="34" customHeight="1">
      <x:c r="A161"/>
      <x:c r="B161"/>
      <x:c r="C161"/>
      <x:c r="D161"/>
    </x:row>
    <x:row r="162" ht="34" customHeight="1">
      <x:c r="A162"/>
      <x:c r="B162"/>
      <x:c r="C162"/>
      <x:c r="D162"/>
    </x:row>
    <x:row r="163" ht="34" customHeight="1">
      <x:c r="A163"/>
      <x:c r="B163"/>
      <x:c r="C163"/>
      <x:c r="D163"/>
    </x:row>
    <x:row r="164" ht="34" customHeight="1">
      <x:c r="A164"/>
      <x:c r="B164"/>
      <x:c r="C164"/>
      <x:c r="D164"/>
    </x:row>
    <x:row r="165" ht="34" customHeight="1">
      <x:c r="A165"/>
      <x:c r="B165"/>
      <x:c r="C165"/>
      <x:c r="D165"/>
    </x:row>
    <x:row r="166" ht="34" customHeight="1">
      <x:c r="A166"/>
      <x:c r="B166"/>
      <x:c r="C166"/>
      <x:c r="D166"/>
    </x:row>
    <x:row r="167" ht="34" customHeight="1">
      <x:c r="A167"/>
      <x:c r="B167"/>
      <x:c r="C167"/>
      <x:c r="D167"/>
    </x:row>
    <x:row r="168" ht="34" customHeight="1">
      <x:c r="A168"/>
      <x:c r="B168"/>
      <x:c r="C168"/>
      <x:c r="D168"/>
    </x:row>
    <x:row r="169" ht="34" customHeight="1">
      <x:c r="A169"/>
      <x:c r="B169"/>
      <x:c r="C169"/>
      <x:c r="D169"/>
    </x:row>
    <x:row r="170" ht="34" customHeight="1">
      <x:c r="A170"/>
      <x:c r="B170"/>
      <x:c r="C170"/>
      <x:c r="D170"/>
    </x:row>
    <x:row r="171" ht="34" customHeight="1">
      <x:c r="A171"/>
      <x:c r="B171"/>
      <x:c r="C171"/>
      <x:c r="D171"/>
    </x:row>
    <x:row r="172" ht="34" customHeight="1">
      <x:c r="A172"/>
      <x:c r="B172"/>
      <x:c r="C172"/>
      <x:c r="D172"/>
    </x:row>
    <x:row r="173" ht="34" customHeight="1">
      <x:c r="A173"/>
      <x:c r="B173"/>
      <x:c r="C173"/>
      <x:c r="D173"/>
    </x:row>
    <x:row r="174" ht="34" customHeight="1">
      <x:c r="A174"/>
      <x:c r="B174"/>
      <x:c r="C174"/>
      <x:c r="D174"/>
    </x:row>
    <x:row r="175" ht="34" customHeight="1">
      <x:c r="A175"/>
      <x:c r="B175"/>
      <x:c r="C175"/>
      <x:c r="D175"/>
    </x:row>
    <x:row r="176" ht="34" customHeight="1">
      <x:c r="A176"/>
      <x:c r="B176"/>
      <x:c r="C176"/>
      <x:c r="D176"/>
    </x:row>
    <x:row r="177" ht="34" customHeight="1">
      <x:c r="A177"/>
      <x:c r="B177"/>
      <x:c r="C177"/>
      <x:c r="D177"/>
    </x:row>
    <x:row r="178" ht="34" customHeight="1">
      <x:c r="A178"/>
      <x:c r="B178"/>
      <x:c r="C178"/>
      <x:c r="D178"/>
    </x:row>
    <x:row r="179" ht="34" customHeight="1">
      <x:c r="A179"/>
      <x:c r="B179"/>
      <x:c r="C179"/>
      <x:c r="D179"/>
    </x:row>
    <x:row r="180" ht="34" customHeight="1">
      <x:c r="A180"/>
      <x:c r="B180"/>
      <x:c r="C180"/>
      <x:c r="D180"/>
    </x:row>
    <x:row r="181" ht="34" customHeight="1">
      <x:c r="A181"/>
      <x:c r="B181"/>
      <x:c r="C181"/>
      <x:c r="D181"/>
    </x:row>
    <x:row r="182" ht="34" customHeight="1">
      <x:c r="A182"/>
      <x:c r="B182"/>
      <x:c r="C182"/>
      <x:c r="D182"/>
    </x:row>
    <x:row r="183" ht="34" customHeight="1">
      <x:c r="A183"/>
      <x:c r="B183"/>
      <x:c r="C183"/>
      <x:c r="D183"/>
    </x:row>
    <x:row r="184" ht="34" customHeight="1">
      <x:c r="A184"/>
      <x:c r="B184"/>
      <x:c r="C184"/>
      <x:c r="D184"/>
    </x:row>
    <x:row r="185" ht="34" customHeight="1">
      <x:c r="A185"/>
      <x:c r="B185"/>
      <x:c r="C185"/>
      <x:c r="D185"/>
    </x:row>
    <x:row r="186" ht="34" customHeight="1">
      <x:c r="A186"/>
      <x:c r="B186"/>
      <x:c r="C186"/>
      <x:c r="D186"/>
    </x:row>
    <x:row r="187" ht="34" customHeight="1">
      <x:c r="A187"/>
      <x:c r="B187"/>
      <x:c r="C187"/>
      <x:c r="D187"/>
    </x:row>
    <x:row r="188" ht="34" customHeight="1">
      <x:c r="A188"/>
      <x:c r="B188"/>
      <x:c r="C188"/>
      <x:c r="D188"/>
    </x:row>
    <x:row r="189" ht="39" customHeight="1">
      <x:c r="A189"/>
      <x:c r="B189"/>
      <x:c r="C189"/>
      <x:c r="D189"/>
    </x:row>
    <x:row r="190" ht="34" customHeight="1">
      <x:c r="A190"/>
      <x:c r="B190"/>
      <x:c r="C190"/>
      <x:c r="D190"/>
    </x:row>
    <x:row r="191" ht="34" customHeight="1">
      <x:c r="A191"/>
      <x:c r="B191"/>
      <x:c r="C191"/>
      <x:c r="D191"/>
    </x:row>
    <x:row r="192" ht="34" customHeight="1">
      <x:c r="A192"/>
      <x:c r="B192"/>
      <x:c r="C192"/>
      <x:c r="D192"/>
    </x:row>
    <x:row r="193" ht="34" customHeight="1">
      <x:c r="A193"/>
      <x:c r="B193"/>
      <x:c r="C193"/>
      <x:c r="D193"/>
    </x:row>
    <x:row r="194" ht="34" customHeight="1">
      <x:c r="A194"/>
      <x:c r="B194"/>
      <x:c r="C194"/>
      <x:c r="D194"/>
    </x:row>
    <x:row r="195" ht="34" customHeight="1">
      <x:c r="A195"/>
      <x:c r="B195"/>
      <x:c r="C195"/>
      <x:c r="D195"/>
    </x:row>
    <x:row r="196" ht="34" customHeight="1">
      <x:c r="A196"/>
      <x:c r="B196"/>
      <x:c r="C196"/>
      <x:c r="D196"/>
    </x:row>
    <x:row r="197" ht="34" customHeight="1">
      <x:c r="A197"/>
      <x:c r="B197"/>
      <x:c r="C197"/>
      <x:c r="D197"/>
    </x:row>
    <x:row r="198" ht="34" customHeight="1">
      <x:c r="A198"/>
      <x:c r="B198"/>
      <x:c r="C198"/>
      <x:c r="D198"/>
    </x:row>
    <x:row r="199" ht="34" customHeight="1">
      <x:c r="A199"/>
      <x:c r="B199"/>
      <x:c r="C199"/>
      <x:c r="D199"/>
    </x:row>
    <x:row r="200" ht="34" customHeight="1">
      <x:c r="A200"/>
      <x:c r="B200"/>
      <x:c r="C200"/>
      <x:c r="D200"/>
    </x:row>
    <x:row r="201" ht="34" customHeight="1">
      <x:c r="A201"/>
      <x:c r="B201"/>
      <x:c r="C201"/>
      <x:c r="D201"/>
    </x:row>
    <x:row r="202" ht="34" customHeight="1">
      <x:c r="A202"/>
      <x:c r="B202"/>
      <x:c r="C202"/>
      <x:c r="D202"/>
    </x:row>
    <x:row r="203" ht="34" customHeight="1">
      <x:c r="A203"/>
      <x:c r="B203"/>
      <x:c r="C203"/>
      <x:c r="D203"/>
    </x:row>
    <x:row r="204" ht="34" customHeight="1">
      <x:c r="A204"/>
      <x:c r="B204"/>
      <x:c r="C204"/>
      <x:c r="D204"/>
    </x:row>
    <x:row r="205" ht="34" customHeight="1">
      <x:c r="A205"/>
      <x:c r="B205"/>
      <x:c r="C205"/>
      <x:c r="D205"/>
    </x:row>
    <x:row r="206" ht="34" customHeight="1">
      <x:c r="A206"/>
      <x:c r="B206"/>
      <x:c r="C206"/>
      <x:c r="D206"/>
    </x:row>
    <x:row r="207" ht="34" customHeight="1">
      <x:c r="A207"/>
      <x:c r="B207"/>
      <x:c r="C207"/>
      <x:c r="D207"/>
    </x:row>
    <x:row r="208" ht="34" customHeight="1">
      <x:c r="A208"/>
      <x:c r="B208"/>
      <x:c r="C208"/>
      <x:c r="D208"/>
    </x:row>
    <x:row r="209" ht="34" customHeight="1">
      <x:c r="A209"/>
      <x:c r="B209"/>
      <x:c r="C209"/>
      <x:c r="D209"/>
    </x:row>
    <x:row r="210" ht="34" customHeight="1">
      <x:c r="A210"/>
      <x:c r="B210"/>
      <x:c r="C210"/>
      <x:c r="D210"/>
    </x:row>
    <x:row r="211" ht="39" customHeight="1">
      <x:c r="A211"/>
      <x:c r="B211"/>
      <x:c r="C211"/>
      <x:c r="D211"/>
    </x:row>
    <x:row r="212" ht="34" customHeight="1">
      <x:c r="A212"/>
      <x:c r="B212"/>
      <x:c r="C212"/>
      <x:c r="D212"/>
    </x:row>
    <x:row r="213" ht="34" customHeight="1">
      <x:c r="A213"/>
      <x:c r="B213"/>
      <x:c r="C213"/>
      <x:c r="D213"/>
    </x:row>
    <x:row r="214" ht="34" customHeight="1">
      <x:c r="A214"/>
      <x:c r="B214"/>
      <x:c r="C214"/>
      <x:c r="D214"/>
    </x:row>
    <x:row r="215" ht="34" customHeight="1">
      <x:c r="A215"/>
      <x:c r="B215"/>
      <x:c r="C215"/>
      <x:c r="D215"/>
    </x:row>
    <x:row r="216" ht="34" customHeight="1">
      <x:c r="A216"/>
      <x:c r="B216"/>
      <x:c r="C216"/>
      <x:c r="D216"/>
    </x:row>
    <x:row r="217" ht="34" customHeight="1">
      <x:c r="A217"/>
      <x:c r="B217"/>
      <x:c r="C217"/>
      <x:c r="D217"/>
    </x:row>
    <x:row r="218" ht="34" customHeight="1">
      <x:c r="A218"/>
      <x:c r="B218"/>
      <x:c r="C218"/>
      <x:c r="D218"/>
    </x:row>
    <x:row r="219" ht="34" customHeight="1">
      <x:c r="A219"/>
      <x:c r="B219"/>
      <x:c r="C219"/>
      <x:c r="D219"/>
    </x:row>
    <x:row r="220" ht="34" customHeight="1">
      <x:c r="A220"/>
      <x:c r="B220"/>
      <x:c r="C220"/>
      <x:c r="D220"/>
    </x:row>
    <x:row r="221" ht="34" customHeight="1">
      <x:c r="A221"/>
      <x:c r="B221"/>
      <x:c r="C221"/>
      <x:c r="D221"/>
    </x:row>
    <x:row r="222" ht="34" customHeight="1">
      <x:c r="A222"/>
      <x:c r="B222"/>
      <x:c r="C222"/>
      <x:c r="D222"/>
    </x:row>
    <x:row r="223" ht="34" customHeight="1">
      <x:c r="A223"/>
      <x:c r="B223"/>
      <x:c r="C223"/>
      <x:c r="D223"/>
    </x:row>
    <x:row r="224" ht="34" customHeight="1">
      <x:c r="A224"/>
      <x:c r="B224"/>
      <x:c r="C224"/>
      <x:c r="D224"/>
    </x:row>
    <x:row r="225" ht="34" customHeight="1">
      <x:c r="A225"/>
      <x:c r="B225"/>
      <x:c r="C225"/>
      <x:c r="D225"/>
    </x:row>
    <x:row r="226" ht="39" customHeight="1">
      <x:c r="A226"/>
      <x:c r="B226"/>
      <x:c r="C226"/>
      <x:c r="D226"/>
    </x:row>
    <x:row r="227" ht="39" customHeight="1">
      <x:c r="A227"/>
      <x:c r="B227"/>
      <x:c r="C227"/>
      <x:c r="D227"/>
    </x:row>
    <x:row r="228" ht="39" customHeight="1">
      <x:c r="A228"/>
      <x:c r="B228"/>
      <x:c r="C228"/>
      <x:c r="D228"/>
    </x:row>
    <x:row r="229" ht="34" customHeight="1">
      <x:c r="A229"/>
      <x:c r="B229"/>
      <x:c r="C229"/>
      <x:c r="D229"/>
    </x:row>
    <x:row r="230" ht="34" customHeight="1">
      <x:c r="A230"/>
      <x:c r="B230"/>
      <x:c r="C230"/>
      <x:c r="D230"/>
    </x:row>
    <x:row r="231" ht="34" customHeight="1">
      <x:c r="A231"/>
      <x:c r="B231"/>
      <x:c r="C231"/>
      <x:c r="D231"/>
    </x:row>
    <x:row r="232" ht="34" customHeight="1">
      <x:c r="A232"/>
      <x:c r="B232"/>
      <x:c r="C232"/>
      <x:c r="D232"/>
    </x:row>
    <x:row r="233" ht="34" customHeight="1">
      <x:c r="A233"/>
      <x:c r="B233"/>
      <x:c r="C233"/>
      <x:c r="D233"/>
    </x:row>
    <x:row r="234" ht="34" customHeight="1">
      <x:c r="A234"/>
      <x:c r="B234"/>
      <x:c r="C234"/>
      <x:c r="D234"/>
    </x:row>
    <x:row r="235" ht="34" customHeight="1">
      <x:c r="A235"/>
      <x:c r="B235"/>
      <x:c r="C235"/>
      <x:c r="D235"/>
    </x:row>
    <x:row r="236" ht="34" customHeight="1">
      <x:c r="A236"/>
      <x:c r="B236"/>
      <x:c r="C236"/>
      <x:c r="D236"/>
    </x:row>
    <x:row r="237" ht="34" customHeight="1">
      <x:c r="A237"/>
      <x:c r="B237"/>
      <x:c r="C237"/>
      <x:c r="D237"/>
    </x:row>
    <x:row r="238" ht="34" customHeight="1">
      <x:c r="A238"/>
      <x:c r="B238"/>
      <x:c r="C238"/>
      <x:c r="D238"/>
    </x:row>
    <x:row r="239" ht="34" customHeight="1">
      <x:c r="A239"/>
      <x:c r="B239"/>
      <x:c r="C239"/>
      <x:c r="D239"/>
    </x:row>
    <x:row r="240" ht="34" customHeight="1">
      <x:c r="A240"/>
      <x:c r="B240"/>
      <x:c r="C240"/>
      <x:c r="D240"/>
    </x:row>
    <x:row r="241" ht="34" customHeight="1">
      <x:c r="A241"/>
      <x:c r="B241"/>
      <x:c r="C241"/>
      <x:c r="D241"/>
    </x:row>
    <x:row r="242" ht="34" customHeight="1">
      <x:c r="A242"/>
      <x:c r="B242"/>
      <x:c r="C242"/>
      <x:c r="D242"/>
    </x:row>
    <x:row r="243" ht="34" customHeight="1">
      <x:c r="A243"/>
      <x:c r="B243"/>
      <x:c r="C243"/>
      <x:c r="D243"/>
    </x:row>
    <x:row r="244" ht="34" customHeight="1">
      <x:c r="A244"/>
      <x:c r="B244"/>
      <x:c r="C244"/>
      <x:c r="D244"/>
    </x:row>
    <x:row r="245" ht="34" customHeight="1">
      <x:c r="A245"/>
      <x:c r="B245"/>
      <x:c r="C245"/>
      <x:c r="D245"/>
    </x:row>
    <x:row r="246" ht="34" customHeight="1">
      <x:c r="A246"/>
      <x:c r="B246"/>
      <x:c r="C246"/>
      <x:c r="D246"/>
    </x:row>
    <x:row r="247" ht="34" customHeight="1">
      <x:c r="A247"/>
      <x:c r="B247"/>
      <x:c r="C247"/>
      <x:c r="D247"/>
    </x:row>
    <x:row r="248" ht="34" customHeight="1">
      <x:c r="A248"/>
      <x:c r="B248"/>
      <x:c r="C248"/>
      <x:c r="D248"/>
    </x:row>
    <x:row r="249" ht="34" customHeight="1">
      <x:c r="A249"/>
      <x:c r="B249"/>
      <x:c r="C249"/>
      <x:c r="D249"/>
    </x:row>
    <x:row r="250" ht="34" customHeight="1">
      <x:c r="A250"/>
      <x:c r="B250"/>
      <x:c r="C250"/>
      <x:c r="D250"/>
    </x:row>
    <x:row r="251" ht="34" customHeight="1">
      <x:c r="A251"/>
      <x:c r="B251"/>
      <x:c r="C251"/>
      <x:c r="D251"/>
    </x:row>
    <x:row r="252" ht="34" customHeight="1">
      <x:c r="A252"/>
      <x:c r="B252"/>
      <x:c r="C252"/>
      <x:c r="D252"/>
    </x:row>
    <x:row r="253" ht="34" customHeight="1">
      <x:c r="A253"/>
      <x:c r="B253"/>
      <x:c r="C253"/>
      <x:c r="D253"/>
    </x:row>
    <x:row r="254" ht="34" customHeight="1">
      <x:c r="A254"/>
      <x:c r="B254"/>
      <x:c r="C254"/>
      <x:c r="D254"/>
    </x:row>
    <x:row r="255" ht="34" customHeight="1">
      <x:c r="A255"/>
      <x:c r="B255"/>
      <x:c r="C255"/>
      <x:c r="D255"/>
    </x:row>
    <x:row r="256" ht="34" customHeight="1">
      <x:c r="A256"/>
      <x:c r="B256"/>
      <x:c r="C256"/>
      <x:c r="D256"/>
    </x:row>
    <x:row r="257" ht="34" customHeight="1">
      <x:c r="A257"/>
      <x:c r="B257"/>
      <x:c r="C257"/>
      <x:c r="D257"/>
    </x:row>
    <x:row r="258" ht="34" customHeight="1">
      <x:c r="A258"/>
      <x:c r="B258"/>
      <x:c r="C258"/>
      <x:c r="D258"/>
    </x:row>
    <x:row r="259" ht="34" customHeight="1">
      <x:c r="A259"/>
      <x:c r="B259"/>
      <x:c r="C259"/>
      <x:c r="D259"/>
    </x:row>
    <x:row r="260" ht="34" customHeight="1">
      <x:c r="A260"/>
      <x:c r="B260"/>
      <x:c r="C260"/>
      <x:c r="D260"/>
    </x:row>
    <x:row r="261" ht="34" customHeight="1">
      <x:c r="A261"/>
      <x:c r="B261"/>
      <x:c r="C261"/>
      <x:c r="D261"/>
    </x:row>
    <x:row r="262" ht="34" customHeight="1">
      <x:c r="A262"/>
      <x:c r="B262"/>
      <x:c r="C262"/>
      <x:c r="D262"/>
    </x:row>
    <x:row r="263" ht="34" customHeight="1">
      <x:c r="A263"/>
      <x:c r="B263"/>
      <x:c r="C263"/>
      <x:c r="D263"/>
    </x:row>
    <x:row r="264" ht="34" customHeight="1">
      <x:c r="A264"/>
      <x:c r="B264"/>
      <x:c r="C264"/>
      <x:c r="D264"/>
    </x:row>
    <x:row r="265" ht="34" customHeight="1">
      <x:c r="A265"/>
      <x:c r="B265"/>
      <x:c r="C265"/>
      <x:c r="D265"/>
    </x:row>
    <x:row r="266" ht="34" customHeight="1">
      <x:c r="A266"/>
      <x:c r="B266"/>
      <x:c r="C266"/>
      <x:c r="D266"/>
    </x:row>
    <x:row r="267" ht="34" customHeight="1">
      <x:c r="A267"/>
      <x:c r="B267"/>
      <x:c r="C267"/>
      <x:c r="D267"/>
    </x:row>
    <x:row r="268" ht="34" customHeight="1">
      <x:c r="A268"/>
      <x:c r="B268"/>
      <x:c r="C268"/>
      <x:c r="D268"/>
    </x:row>
    <x:row r="269" ht="34" customHeight="1">
      <x:c r="A269"/>
      <x:c r="B269"/>
      <x:c r="C269"/>
      <x:c r="D269"/>
    </x:row>
    <x:row r="270" ht="34" customHeight="1">
      <x:c r="A270"/>
      <x:c r="B270"/>
      <x:c r="C270"/>
      <x:c r="D270"/>
    </x:row>
    <x:row r="271" ht="34" customHeight="1">
      <x:c r="A271"/>
      <x:c r="B271"/>
      <x:c r="C271"/>
      <x:c r="D271"/>
    </x:row>
    <x:row r="272" ht="34" customHeight="1">
      <x:c r="A272"/>
      <x:c r="B272"/>
      <x:c r="C272"/>
      <x:c r="D272"/>
    </x:row>
    <x:row r="273" ht="34" customHeight="1">
      <x:c r="A273"/>
      <x:c r="B273"/>
      <x:c r="C273"/>
      <x:c r="D273"/>
    </x:row>
    <x:row r="274" ht="34" customHeight="1">
      <x:c r="A274"/>
      <x:c r="B274"/>
      <x:c r="C274"/>
      <x:c r="D274"/>
    </x:row>
    <x:row r="275" ht="34" customHeight="1">
      <x:c r="A275"/>
      <x:c r="B275"/>
      <x:c r="C275"/>
      <x:c r="D275"/>
    </x:row>
    <x:row r="276" ht="34" customHeight="1">
      <x:c r="A276"/>
      <x:c r="B276"/>
      <x:c r="C276"/>
      <x:c r="D276"/>
    </x:row>
    <x:row r="277" ht="34" customHeight="1">
      <x:c r="A277"/>
      <x:c r="B277"/>
      <x:c r="C277"/>
      <x:c r="D277"/>
    </x:row>
    <x:row r="278" ht="34" customHeight="1">
      <x:c r="A278"/>
      <x:c r="B278"/>
      <x:c r="C278"/>
      <x:c r="D278"/>
    </x:row>
    <x:row r="279" ht="34" customHeight="1">
      <x:c r="A279"/>
      <x:c r="B279"/>
      <x:c r="C279"/>
      <x:c r="D279"/>
    </x:row>
    <x:row r="280" ht="34" customHeight="1">
      <x:c r="A280"/>
      <x:c r="B280"/>
      <x:c r="C280"/>
      <x:c r="D280"/>
    </x:row>
    <x:row r="281" ht="39" customHeight="1">
      <x:c r="A281"/>
      <x:c r="B281"/>
      <x:c r="C281"/>
      <x:c r="D281"/>
    </x:row>
    <x:row r="282" ht="34" customHeight="1">
      <x:c r="A282"/>
      <x:c r="B282"/>
      <x:c r="C282"/>
      <x:c r="D282"/>
    </x:row>
    <x:row r="283" ht="34" customHeight="1">
      <x:c r="A283"/>
      <x:c r="B283"/>
      <x:c r="C283"/>
      <x:c r="D283"/>
    </x:row>
    <x:row r="284" ht="34" customHeight="1">
      <x:c r="A284"/>
      <x:c r="B284"/>
      <x:c r="C284"/>
      <x:c r="D284"/>
    </x:row>
    <x:row r="285" ht="34" customHeight="1">
      <x:c r="A285"/>
      <x:c r="B285"/>
      <x:c r="C285"/>
      <x:c r="D285"/>
    </x:row>
    <x:row r="286" ht="34" customHeight="1">
      <x:c r="A286"/>
      <x:c r="B286"/>
      <x:c r="C286"/>
      <x:c r="D286"/>
    </x:row>
    <x:row r="287" ht="34" customHeight="1">
      <x:c r="A287"/>
      <x:c r="B287"/>
      <x:c r="C287"/>
      <x:c r="D287"/>
    </x:row>
    <x:row r="288" ht="39" customHeight="1">
      <x:c r="A288"/>
      <x:c r="B288"/>
      <x:c r="C288"/>
      <x:c r="D288"/>
    </x:row>
    <x:row r="289" ht="39" customHeight="1">
      <x:c r="A289"/>
      <x:c r="B289"/>
      <x:c r="C289"/>
      <x:c r="D289"/>
    </x:row>
    <x:row r="290" ht="39" customHeight="1">
      <x:c r="A290"/>
      <x:c r="B290"/>
      <x:c r="C290"/>
      <x:c r="D290"/>
    </x:row>
    <x:row r="291" ht="39" customHeight="1">
      <x:c r="A291"/>
      <x:c r="B291"/>
      <x:c r="C291"/>
      <x:c r="D291"/>
    </x:row>
    <x:row r="292" ht="39" customHeight="1">
      <x:c r="A292"/>
      <x:c r="B292"/>
      <x:c r="C292"/>
      <x:c r="D292"/>
    </x:row>
    <x:row r="293" ht="39" customHeight="1">
      <x:c r="A293"/>
      <x:c r="B293"/>
      <x:c r="C293"/>
      <x:c r="D293"/>
    </x:row>
    <x:row r="294" ht="39" customHeight="1">
      <x:c r="A294"/>
      <x:c r="B294"/>
      <x:c r="C294"/>
      <x:c r="D294"/>
    </x:row>
    <x:row r="295" ht="39" customHeight="1">
      <x:c r="A295"/>
      <x:c r="B295"/>
      <x:c r="C295"/>
      <x:c r="D295"/>
    </x:row>
    <x:row r="296" ht="39" customHeight="1">
      <x:c r="A296"/>
      <x:c r="B296"/>
      <x:c r="C296"/>
      <x:c r="D296"/>
    </x:row>
    <x:row r="297" ht="39" customHeight="1">
      <x:c r="A297"/>
      <x:c r="B297"/>
      <x:c r="C297"/>
      <x:c r="D297"/>
    </x:row>
    <x:row r="298" ht="39" customHeight="1">
      <x:c r="A298"/>
      <x:c r="B298"/>
      <x:c r="C298"/>
      <x:c r="D298"/>
    </x:row>
    <x:row r="299" ht="39" customHeight="1">
      <x:c r="A299"/>
      <x:c r="B299"/>
      <x:c r="C299"/>
      <x:c r="D299"/>
    </x:row>
    <x:row r="300" ht="39" customHeight="1">
      <x:c r="A300"/>
      <x:c r="B300"/>
      <x:c r="C300"/>
      <x:c r="D300"/>
    </x:row>
    <x:row r="301" ht="39" customHeight="1">
      <x:c r="A301"/>
      <x:c r="B301"/>
      <x:c r="C301"/>
      <x:c r="D301"/>
    </x:row>
    <x:row r="302" ht="39" customHeight="1">
      <x:c r="A302"/>
      <x:c r="B302"/>
      <x:c r="C302"/>
      <x:c r="D302"/>
    </x:row>
    <x:row r="303" ht="39" customHeight="1">
      <x:c r="A303"/>
      <x:c r="B303"/>
      <x:c r="C303"/>
      <x:c r="D303"/>
    </x:row>
    <x:row r="304" ht="34" customHeight="1">
      <x:c r="A304"/>
      <x:c r="B304"/>
      <x:c r="C304"/>
      <x:c r="D304"/>
    </x:row>
    <x:row r="305" ht="34" customHeight="1">
      <x:c r="A305"/>
      <x:c r="B305"/>
      <x:c r="C305"/>
      <x:c r="D305"/>
    </x:row>
    <x:row r="306" ht="34" customHeight="1">
      <x:c r="A306"/>
      <x:c r="B306"/>
      <x:c r="C306"/>
      <x:c r="D306"/>
    </x:row>
    <x:row r="307" ht="34" customHeight="1">
      <x:c r="A307"/>
      <x:c r="B307"/>
      <x:c r="C307"/>
      <x:c r="D307"/>
    </x:row>
    <x:row r="308" ht="39" customHeight="1">
      <x:c r="A308"/>
      <x:c r="B308"/>
      <x:c r="C308"/>
      <x:c r="D308"/>
    </x:row>
    <x:row r="309" ht="39" customHeight="1">
      <x:c r="A309"/>
      <x:c r="B309"/>
      <x:c r="C309"/>
      <x:c r="D309"/>
    </x:row>
    <x:row r="310" ht="34" customHeight="1">
      <x:c r="A310"/>
      <x:c r="B310"/>
      <x:c r="C310"/>
      <x:c r="D310"/>
    </x:row>
    <x:row r="311" ht="34" customHeight="1">
      <x:c r="A311"/>
      <x:c r="B311"/>
      <x:c r="C311"/>
      <x:c r="D311"/>
    </x:row>
    <x:row r="312" ht="34" customHeight="1">
      <x:c r="A312"/>
      <x:c r="B312"/>
      <x:c r="C312"/>
      <x:c r="D312"/>
    </x:row>
    <x:row r="313" ht="39" customHeight="1">
      <x:c r="A313"/>
      <x:c r="B313"/>
      <x:c r="C313"/>
      <x:c r="D313"/>
    </x:row>
    <x:row r="314" ht="34" customHeight="1">
      <x:c r="A314"/>
      <x:c r="B314"/>
      <x:c r="C314"/>
      <x:c r="D314"/>
    </x:row>
    <x:row r="315" ht="34" customHeight="1">
      <x:c r="A315"/>
      <x:c r="B315"/>
      <x:c r="C315"/>
      <x:c r="D315"/>
    </x:row>
    <x:row r="316" ht="34" customHeight="1">
      <x:c r="A316"/>
      <x:c r="B316"/>
      <x:c r="C316"/>
      <x:c r="D316"/>
    </x:row>
    <x:row r="317" ht="34" customHeight="1">
      <x:c r="A317"/>
      <x:c r="B317"/>
      <x:c r="C317"/>
      <x:c r="D317"/>
    </x:row>
    <x:row r="318" ht="34" customHeight="1">
      <x:c r="A318"/>
      <x:c r="B318"/>
      <x:c r="C318"/>
      <x:c r="D318"/>
    </x:row>
    <x:row r="319" ht="34" customHeight="1">
      <x:c r="A319"/>
      <x:c r="B319"/>
      <x:c r="C319"/>
      <x:c r="D319"/>
    </x:row>
    <x:row r="320" ht="34" customHeight="1">
      <x:c r="A320"/>
      <x:c r="B320"/>
      <x:c r="C320"/>
      <x:c r="D320"/>
    </x:row>
    <x:row r="321" ht="34" customHeight="1">
      <x:c r="A321"/>
      <x:c r="B321"/>
      <x:c r="C321"/>
      <x:c r="D321"/>
    </x:row>
    <x:row r="322" ht="34" customHeight="1">
      <x:c r="A322"/>
      <x:c r="B322"/>
      <x:c r="C322"/>
      <x:c r="D322"/>
    </x:row>
    <x:row r="323" ht="39" customHeight="1">
      <x:c r="A323"/>
      <x:c r="B323"/>
      <x:c r="C323"/>
      <x:c r="D323"/>
    </x:row>
    <x:row r="324" ht="39" customHeight="1">
      <x:c r="A324"/>
      <x:c r="B324"/>
      <x:c r="C324"/>
      <x:c r="D324"/>
    </x:row>
    <x:row r="325" ht="34" customHeight="1">
      <x:c r="A325"/>
      <x:c r="B325"/>
      <x:c r="C325"/>
      <x:c r="D325"/>
    </x:row>
    <x:row r="326" ht="34" customHeight="1">
      <x:c r="A326"/>
      <x:c r="B326"/>
      <x:c r="C326"/>
      <x:c r="D326"/>
    </x:row>
    <x:row r="327" ht="34" customHeight="1">
      <x:c r="A327"/>
      <x:c r="B327"/>
      <x:c r="C327"/>
      <x:c r="D327"/>
    </x:row>
    <x:row r="328" ht="34" customHeight="1">
      <x:c r="A328"/>
      <x:c r="B328"/>
      <x:c r="C328"/>
      <x:c r="D328"/>
    </x:row>
    <x:row r="329" ht="34" customHeight="1">
      <x:c r="A329"/>
      <x:c r="B329"/>
      <x:c r="C329"/>
      <x:c r="D329"/>
    </x:row>
    <x:row r="330" ht="34" customHeight="1">
      <x:c r="A330"/>
      <x:c r="B330"/>
      <x:c r="C330"/>
      <x:c r="D330"/>
    </x:row>
    <x:row r="331" ht="34" customHeight="1">
      <x:c r="A331"/>
      <x:c r="B331"/>
      <x:c r="C331"/>
      <x:c r="D331"/>
    </x:row>
    <x:row r="332" ht="34" customHeight="1">
      <x:c r="A332"/>
      <x:c r="B332"/>
      <x:c r="C332"/>
      <x:c r="D332"/>
    </x:row>
    <x:row r="333" ht="52.5" customHeight="1">
      <x:c r="A333"/>
      <x:c r="B333"/>
      <x:c r="C333"/>
      <x:c r="D333"/>
    </x:row>
    <x:row r="334" ht="52.5" customHeight="1">
      <x:c r="A334"/>
      <x:c r="B334"/>
      <x:c r="C334"/>
      <x:c r="D334"/>
    </x:row>
    <x:row r="335" ht="52.5" customHeight="1">
      <x:c r="A335"/>
      <x:c r="B335"/>
      <x:c r="C335"/>
      <x:c r="D335"/>
    </x:row>
    <x:row r="336" ht="52.5" customHeight="1">
      <x:c r="A336"/>
      <x:c r="B336"/>
      <x:c r="C336"/>
      <x:c r="D336"/>
    </x:row>
    <x:row r="337" ht="52.5" customHeight="1">
      <x:c r="A337"/>
      <x:c r="B337"/>
      <x:c r="C337"/>
      <x:c r="D337"/>
    </x:row>
    <x:row r="338" ht="52.5" customHeight="1">
      <x:c r="A338"/>
      <x:c r="B338"/>
      <x:c r="C338"/>
      <x:c r="D338"/>
    </x:row>
    <x:row r="339" ht="39" customHeight="1">
      <x:c r="A339"/>
      <x:c r="B339"/>
      <x:c r="C339"/>
      <x:c r="D339"/>
    </x:row>
    <x:row r="340" ht="39" customHeight="1">
      <x:c r="A340"/>
      <x:c r="B340"/>
      <x:c r="C340"/>
      <x:c r="D340"/>
    </x:row>
    <x:row r="341" ht="39" customHeight="1">
      <x:c r="A341"/>
      <x:c r="B341"/>
      <x:c r="C341"/>
      <x:c r="D341"/>
    </x:row>
    <x:row r="342" ht="39" customHeight="1">
      <x:c r="A342"/>
      <x:c r="B342"/>
      <x:c r="C342"/>
      <x:c r="D342"/>
    </x:row>
    <x:row r="343" ht="39" customHeight="1">
      <x:c r="A343"/>
      <x:c r="B343"/>
      <x:c r="C343"/>
      <x:c r="D343"/>
    </x:row>
    <x:row r="344" ht="39" customHeight="1">
      <x:c r="A344"/>
      <x:c r="B344"/>
      <x:c r="C344"/>
      <x:c r="D344"/>
    </x:row>
    <x:row r="345" ht="39" customHeight="1">
      <x:c r="A345"/>
      <x:c r="B345"/>
      <x:c r="C345"/>
      <x:c r="D345"/>
    </x:row>
    <x:row r="346" ht="39" customHeight="1">
      <x:c r="A346"/>
      <x:c r="B346"/>
      <x:c r="C346"/>
      <x:c r="D346"/>
    </x:row>
    <x:row r="347" ht="39" customHeight="1">
      <x:c r="A347"/>
      <x:c r="B347"/>
      <x:c r="C347"/>
      <x:c r="D347"/>
    </x:row>
    <x:row r="348" ht="39" customHeight="1">
      <x:c r="A348"/>
      <x:c r="B348"/>
      <x:c r="C348"/>
      <x:c r="D348"/>
    </x:row>
    <x:row r="349" ht="39" customHeight="1">
      <x:c r="A349"/>
      <x:c r="B349"/>
      <x:c r="C349"/>
      <x:c r="D349"/>
    </x:row>
    <x:row r="350" ht="39" customHeight="1">
      <x:c r="A350"/>
      <x:c r="B350"/>
      <x:c r="C350"/>
      <x:c r="D350"/>
    </x:row>
    <x:row r="351" ht="39" customHeight="1">
      <x:c r="A351"/>
      <x:c r="B351"/>
      <x:c r="C351"/>
      <x:c r="D351"/>
    </x:row>
    <x:row r="352" ht="39" customHeight="1">
      <x:c r="A352"/>
      <x:c r="B352"/>
      <x:c r="C352"/>
      <x:c r="D352"/>
    </x:row>
    <x:row r="353" ht="39" customHeight="1">
      <x:c r="A353"/>
      <x:c r="B353"/>
      <x:c r="C353"/>
      <x:c r="D353"/>
    </x:row>
    <x:row r="354" ht="39" customHeight="1">
      <x:c r="A354"/>
      <x:c r="B354"/>
      <x:c r="C354"/>
      <x:c r="D354"/>
    </x:row>
    <x:row r="355" ht="34" customHeight="1">
      <x:c r="A355"/>
      <x:c r="B355"/>
      <x:c r="C355"/>
      <x:c r="D355"/>
    </x:row>
    <x:row r="356" ht="34" customHeight="1">
      <x:c r="A356"/>
      <x:c r="B356"/>
      <x:c r="C356"/>
      <x:c r="D356"/>
    </x:row>
    <x:row r="357" ht="34" customHeight="1">
      <x:c r="A357"/>
      <x:c r="B357"/>
      <x:c r="C357"/>
      <x:c r="D357"/>
    </x:row>
    <x:row r="358" ht="34" customHeight="1">
      <x:c r="A358"/>
      <x:c r="B358"/>
      <x:c r="C358"/>
      <x:c r="D358"/>
    </x:row>
    <x:row r="359" ht="34" customHeight="1">
      <x:c r="A359"/>
      <x:c r="B359"/>
      <x:c r="C359"/>
      <x:c r="D359"/>
    </x:row>
    <x:row r="360" ht="34" customHeight="1">
      <x:c r="A360"/>
      <x:c r="B360"/>
      <x:c r="C360"/>
      <x:c r="D360"/>
    </x:row>
    <x:row r="361" ht="39" customHeight="1">
      <x:c r="A361"/>
      <x:c r="B361"/>
      <x:c r="C361"/>
      <x:c r="D361"/>
    </x:row>
    <x:row r="362" ht="34" customHeight="1">
      <x:c r="A362"/>
      <x:c r="B362"/>
      <x:c r="C362"/>
      <x:c r="D362"/>
    </x:row>
    <x:row r="363" ht="39" customHeight="1">
      <x:c r="A363"/>
      <x:c r="B363"/>
      <x:c r="C363"/>
      <x:c r="D363"/>
    </x:row>
    <x:row r="364" ht="34" customHeight="1">
      <x:c r="A364"/>
      <x:c r="B364"/>
      <x:c r="C364"/>
      <x:c r="D364"/>
    </x:row>
    <x:row r="365" ht="34" customHeight="1">
      <x:c r="A365"/>
      <x:c r="B365"/>
      <x:c r="C365"/>
      <x:c r="D365"/>
    </x:row>
    <x:row r="366" ht="34" customHeight="1">
      <x:c r="A366"/>
      <x:c r="B366"/>
      <x:c r="C366"/>
      <x:c r="D366"/>
    </x:row>
    <x:row r="367" ht="34" customHeight="1">
      <x:c r="A367"/>
      <x:c r="B367"/>
      <x:c r="C367"/>
      <x:c r="D367"/>
    </x:row>
    <x:row r="368" ht="52.5" customHeight="1">
      <x:c r="A368"/>
      <x:c r="B368"/>
      <x:c r="C368"/>
      <x:c r="D368"/>
    </x:row>
    <x:row r="369" ht="52.5" customHeight="1">
      <x:c r="A369"/>
      <x:c r="B369"/>
      <x:c r="C369"/>
      <x:c r="D369"/>
    </x:row>
    <x:row r="370" ht="52.5" customHeight="1">
      <x:c r="A370"/>
      <x:c r="B370"/>
      <x:c r="C370"/>
      <x:c r="D370"/>
    </x:row>
    <x:row r="371" ht="22" customHeight="1">
      <x:c r="A371"/>
      <x:c r="B371"/>
      <x:c r="C371"/>
      <x:c r="D371"/>
    </x:row>
    <x:row r="372" ht="22" customHeight="1">
      <x:c r="A372"/>
      <x:c r="B372"/>
      <x:c r="C372"/>
      <x:c r="D372"/>
    </x:row>
  </x:sheetData>
  <x:mergeCells>
    <x:mergeCell ref="A2:D2"/>
    <x:mergeCell ref="A4:D5"/>
    <x:mergeCell ref="A14:D14"/>
    <x:mergeCell ref="A20:D2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4.440000534057617" hidden="0" customWidth="1"/>
    <x:col min="2" max="2" width="75.55999755859375" hidden="0" customWidth="1"/>
    <x:col min="3" max="3" width="65.55999755859375" hidden="0" customWidth="1"/>
  </x:cols>
  <x:sheetData>
    <x:row r="1" ht="10" customHeight="1">
      <x:c r="A1" s="1"/>
      <x:c r="B1" s="1"/>
      <x:c r="C1" s="1"/>
    </x:row>
    <x:row r="2" ht="28" customHeight="1">
      <x:c r="A2" s="2" t="inlineStr">
        <x:is>
          <x:t xml:space="preserve">Datenstand und Rechenregeln</x:t>
        </x:is>
      </x:c>
      <x:c r="B2" s="3"/>
      <x:c r="C2" s="3"/>
    </x:row>
    <x:row r="3" ht="22" customHeight="1">
      <x:c r="A3" s="4" t="inlineStr">
        <x:is>
          <x:t xml:space="preserve">Neuberechnung aus A&amp;E-Satzmaster und vollständiger Satzbasis; Datengrundlage.xlsx liefert den festen Tabellenaufbau.</x:t>
        </x:is>
      </x:c>
      <x:c r="B3" s="1"/>
      <x:c r="C3" s="1"/>
    </x:row>
    <x:row r="4" ht="22" customHeight="1">
      <x:c r="A4" s="1"/>
      <x:c r="B4" s="1"/>
      <x:c r="C4" s="1"/>
    </x:row>
    <x:row r="5" ht="22" customHeight="1">
      <x:c r="A5" s="1"/>
      <x:c r="B5" s="1"/>
      <x:c r="C5" s="1"/>
    </x:row>
    <x:row r="6" ht="26" customHeight="1">
      <x:c r="A6" s="10" t="inlineStr">
        <x:is>
          <x:t xml:space="preserve">Quellen des dokumentierten Berechnungsstands</x:t>
        </x:is>
      </x:c>
      <x:c r="B6" s="1"/>
      <x:c r="C6" s="1"/>
    </x:row>
    <x:row r="7" ht="54" customHeight="1">
      <x:c r="A7" s="11" t="inlineStr">
        <x:is>
          <x:t xml:space="preserve">Verwendung</x:t>
        </x:is>
      </x:c>
      <x:c r="B7" s="20" t="inlineStr">
        <x:is>
          <x:t xml:space="preserve">Datei / Quelle</x:t>
        </x:is>
      </x:c>
      <x:c r="C7" s="12" t="inlineStr">
        <x:is>
          <x:t xml:space="preserve">SHA-256 / Verwendungshinweis</x:t>
        </x:is>
      </x:c>
    </x:row>
    <x:row r="8" ht="38" customHeight="1">
      <x:c r="A8" s="13" t="inlineStr">
        <x:is>
          <x:t xml:space="preserve">A&amp;E-Satzmaster</x:t>
        </x:is>
      </x:c>
      <x:c r="B8" s="13" t="inlineStr">
        <x:is>
          <x:t xml:space="preserve">Satzmaster_Agrar_Ernaehrung.csv.gz</x:t>
        </x:is>
      </x:c>
      <x:c r="C8" s="13" t="inlineStr">
        <x:is>
          <x:t xml:space="preserve">a1a876862728b709e864a0008403225486b4a68ff8511d12714c1ff925a98079</x:t>
        </x:is>
      </x:c>
    </x:row>
    <x:row r="9" ht="38" customHeight="1">
      <x:c r="A9" s="15" t="inlineStr">
        <x:is>
          <x:t xml:space="preserve">Vollständige Satzbasis</x:t>
        </x:is>
      </x:c>
      <x:c r="B9" s="15" t="inlineStr">
        <x:is>
          <x:t xml:space="preserve">Saetze_2018-2025.csv.gz</x:t>
        </x:is>
      </x:c>
      <x:c r="C9" s="15" t="inlineStr">
        <x:is>
          <x:t xml:space="preserve">a49824ce04dc698080ff3904dd3edba8b894e354edd36d9675ef079d5dc5b547</x:t>
        </x:is>
      </x:c>
    </x:row>
    <x:row r="10" ht="38" customHeight="1">
      <x:c r="A10" s="13" t="inlineStr">
        <x:is>
          <x:t xml:space="preserve">Ökologie</x:t>
        </x:is>
      </x:c>
      <x:c r="B10" s="13" t="inlineStr">
        <x:is>
          <x:t xml:space="preserve">Woerterbuch_Oekologie.json</x:t>
        </x:is>
      </x:c>
      <x:c r="C10" s="13" t="inlineStr">
        <x:is>
          <x:t xml:space="preserve">e0f8a41e67e1c9fe8c63227fe349a5fec6ae90d1114f4fca961074ecf8586db7</x:t>
        </x:is>
      </x:c>
    </x:row>
    <x:row r="11" ht="38" customHeight="1">
      <x:c r="A11" s="15" t="inlineStr">
        <x:is>
          <x:t xml:space="preserve">Ökonomie</x:t>
        </x:is>
      </x:c>
      <x:c r="B11" s="15" t="inlineStr">
        <x:is>
          <x:t xml:space="preserve">Woerterbuch_Oekonomie.json</x:t>
        </x:is>
      </x:c>
      <x:c r="C11" s="15" t="inlineStr">
        <x:is>
          <x:t xml:space="preserve">b2e89300c31bd40b53f0080115d70e6a7477e30e3e00af00adbe0580866043a1</x:t>
        </x:is>
      </x:c>
    </x:row>
    <x:row r="12" ht="38" customHeight="1">
      <x:c r="A12" s="13" t="inlineStr">
        <x:is>
          <x:t xml:space="preserve">S&amp;R</x:t>
        </x:is>
      </x:c>
      <x:c r="B12" s="13" t="inlineStr">
        <x:is>
          <x:t xml:space="preserve">Woerterbuch_Sicherheit_und_Resilienz.json</x:t>
        </x:is>
      </x:c>
      <x:c r="C12" s="13" t="inlineStr">
        <x:is>
          <x:t xml:space="preserve">e931e5c590dd464c5307354e3c0540d66436873cd952939590fef0d18f9ead18</x:t>
        </x:is>
      </x:c>
    </x:row>
    <x:row r="13" ht="38" customHeight="1">
      <x:c r="A13" s="34" t="inlineStr">
        <x:is>
          <x:t xml:space="preserve">Excel-Vorlage</x:t>
        </x:is>
      </x:c>
      <x:c r="B13" s="34" t="inlineStr">
        <x:is>
          <x:t xml:space="preserve">Datengrundlage.xlsx</x:t>
        </x:is>
      </x:c>
      <x:c r="C13" s="34" t="inlineStr">
        <x:is>
          <x:t xml:space="preserve">Tabellenaufbau, Formeln und drei ergänzende Textsuchregeln. Gesamtplenum-Zahlen aus der Satzbasis neu berechnet.</x:t>
        </x:is>
      </x:c>
    </x:row>
    <x:row r="14" ht="40" customHeight="1">
      <x:c r="A14" s="13" t="inlineStr">
        <x:is>
          <x:t xml:space="preserve">A&amp;E-Wörterbuch</x:t>
        </x:is>
      </x:c>
      <x:c r="B14" s="13" t="inlineStr">
        <x:is>
          <x:t xml:space="preserve">Woerterbuch_Agrar_Ernaehrung.json</x:t>
        </x:is>
      </x:c>
      <x:c r="C14" s="13" t="inlineStr">
        <x:is>
          <x:t xml:space="preserve">10faa70935c117513d4046abedf707a39cbc64f01494027e13f6a93bc9ea864a</x:t>
        </x:is>
      </x:c>
    </x:row>
    <x:row r="15" ht="22" customHeight="1">
      <x:c r="A15" s="1"/>
      <x:c r="B15" s="1"/>
      <x:c r="C15" s="1"/>
    </x:row>
    <x:row r="16" ht="26" customHeight="1">
      <x:c r="A16" s="10" t="inlineStr">
        <x:is>
          <x:t xml:space="preserve">Zähl- und Bezugsregeln</x:t>
        </x:is>
      </x:c>
      <x:c r="B16" s="1"/>
      <x:c r="C16" s="1"/>
    </x:row>
    <x:row r="17" ht="54" customHeight="1">
      <x:c r="A17" s="11" t="inlineStr">
        <x:is>
          <x:t xml:space="preserve">Gegenstand</x:t>
        </x:is>
      </x:c>
      <x:c r="B17" s="12" t="inlineStr">
        <x:is>
          <x:t xml:space="preserve">Festlegung</x:t>
        </x:is>
      </x:c>
      <x:c r="C17" s="1"/>
    </x:row>
    <x:row r="18" ht="44" customHeight="1">
      <x:c r="A18" s="13" t="inlineStr">
        <x:is>
          <x:t xml:space="preserve">Analyseeinheit</x:t>
        </x:is>
      </x:c>
      <x:c r="B18" s="13" t="inlineStr">
        <x:is>
          <x:t xml:space="preserve">Ein Satz gemäß vorhandener pysbd-Segmentierung. Kennung: rede_id und sent_idx.</x:t>
        </x:is>
      </x:c>
      <x:c r="C18" s="1"/>
    </x:row>
    <x:row r="19" ht="44" customHeight="1">
      <x:c r="A19" s="15" t="inlineStr">
        <x:is>
          <x:t xml:space="preserve">Beitrag / Rede</x:t>
        </x:is>
      </x:c>
      <x:c r="B19" s="15" t="inlineStr">
        <x:is>
          <x:t xml:space="preserve">Eindeutige rede_id; amtliche schriftliche Beiträge einschließlich Erklärungen zur Abstimmung bleiben enthalten.</x:t>
        </x:is>
      </x:c>
      <x:c r="C19" s="1"/>
    </x:row>
    <x:row r="20" ht="44" customHeight="1">
      <x:c r="A20" s="13" t="inlineStr">
        <x:is>
          <x:t xml:space="preserve">Sitzungstag</x:t>
        </x:is>
      </x:c>
      <x:c r="B20" s="13" t="inlineStr">
        <x:is>
          <x:t xml:space="preserve">Unterschiedliche Datumswerte. Die Gesamtplenartage werden aus der vollständigen Satzbasis ermittelt.</x:t>
        </x:is>
      </x:c>
      <x:c r="C20" s="1"/>
    </x:row>
    <x:row r="21" ht="44" customHeight="1">
      <x:c r="A21" s="15" t="inlineStr">
        <x:is>
          <x:t xml:space="preserve">Politikfeldanteil</x:t>
        </x:is>
      </x:c>
      <x:c r="B21" s="15" t="inlineStr">
        <x:is>
          <x:t xml:space="preserve">A&amp;E-Sätze geteilt durch alle Plenarsätze desselben Jahres bzw. derselben politischen Zuordnung.</x:t>
        </x:is>
      </x:c>
      <x:c r="C21" s="1"/>
    </x:row>
    <x:row r="22" ht="44" customHeight="1">
      <x:c r="A22" s="13" t="inlineStr">
        <x:is>
          <x:t xml:space="preserve">Dimensionsanteil</x:t>
        </x:is>
      </x:c>
      <x:c r="B22" s="13" t="inlineStr">
        <x:is>
          <x:t xml:space="preserve">Sätze mit mindestens einem gültigen Treffer der Dimension geteilt durch die A&amp;E-Sätze derselben Teilmenge.</x:t>
        </x:is>
      </x:c>
      <x:c r="C22" s="1"/>
    </x:row>
    <x:row r="23" ht="44" customHeight="1">
      <x:c r="A23" s="15" t="inlineStr">
        <x:is>
          <x:t xml:space="preserve">Satzmengen</x:t>
        </x:is>
      </x:c>
      <x:c r="B23" s="15" t="inlineStr">
        <x:is>
          <x:t xml:space="preserve">Je Dimension, Kategorie, Familie oder Suchgruppe zählt ein Satz höchstens einmal. Gruppen dürfen sich überschneiden.</x:t>
        </x:is>
      </x:c>
      <x:c r="C23" s="1"/>
    </x:row>
    <x:row r="24" ht="44" customHeight="1">
      <x:c r="A24" s="13" t="inlineStr">
        <x:is>
          <x:t xml:space="preserve">Perioden</x:t>
        </x:is>
      </x:c>
      <x:c r="B24" s="13" t="inlineStr">
        <x:is>
          <x:t xml:space="preserve">2018–2021 und 2022–2025 bezeichnen Kalenderjahresblöcke. Summierte Zähler geteilt durch summierte Nenner, kein Mittelwert der Jahresprozente.</x:t>
        </x:is>
      </x:c>
      <x:c r="C24" s="1"/>
    </x:row>
    <x:row r="25" ht="44" customHeight="1">
      <x:c r="A25" s="15" t="inlineStr">
        <x:is>
          <x:t xml:space="preserve">Fraktionen</x:t>
        </x:is>
      </x:c>
      <x:c r="B25" s="15" t="inlineStr">
        <x:is>
          <x:t xml:space="preserve">Sechs Vergleichsfraktionen: CDU/CSU, SPD, Grüne, AfD, FDP, Die Linke. BSW und fraktionslose Beiträge sind separat ausgewiesen.</x:t>
        </x:is>
      </x:c>
      <x:c r="C25" s="1"/>
    </x:row>
    <x:row r="26" ht="44" customHeight="1">
      <x:c r="A26" s="13" t="inlineStr">
        <x:is>
          <x:t xml:space="preserve">Quellenzuordnung</x:t>
        </x:is>
      </x:c>
      <x:c r="B26" s="13" t="inlineStr">
        <x:is>
          <x:t xml:space="preserve">Politische Zuordnungen gemäß repariertem Korpus; darunter rollenbezogene Regierungszuordnungen. Keine neue Umcodierung.</x:t>
        </x:is>
      </x:c>
      <x:c r="C26" s="1"/>
    </x:row>
    <x:row r="27" ht="44" customHeight="1">
      <x:c r="A27" s="15" t="inlineStr">
        <x:is>
          <x:t xml:space="preserve">FDP 2025</x:t>
        </x:is>
      </x:c>
      <x:c r="B27" s="15" t="str">
        <x:v>Drei A&amp;E-Sätze. Individuelle Themenanteile der FDP 2025 bleiben unterdrückt; Rohwerte bleiben in Aggregaten.</x:v>
      </x:c>
      <x:c r="C27" s="1"/>
    </x:row>
    <x:row r="28" ht="44" customHeight="1">
      <x:c r="A28" s="13" t="str">
        <x:v>Fraktionsvergleich</x:v>
      </x:c>
      <x:c r="B28" s="13" t="str">
        <x:v>Abstände und Richtungsvergleiche auf ungerundeten Anteilen; gemeinsamer Jahreswert aus den summierten Sätzen der sechs Fraktionen.</x:v>
      </x:c>
      <x:c r="C28" s="1"/>
    </x:row>
    <x:row r="29" ht="44" customHeight="1">
      <x:c r="A29"/>
      <x:c r="B29"/>
      <x:c r="C29"/>
    </x:row>
    <x:row r="30" ht="44" customHeight="1">
      <x:c r="A30"/>
      <x:c r="B30"/>
      <x:c r="C30"/>
    </x:row>
    <x:row r="31" ht="44" customHeight="1">
      <x:c r="A31" s="15" t="inlineStr">
        <x:is>
          <x:t xml:space="preserve">Suchgruppen</x:t>
        </x:is>
      </x:c>
      <x:c r="B31" s="15" t="inlineStr">
        <x:is>
          <x:t xml:space="preserve">Vertiefungen: Preise und Kosten (G1), Agrardiesel (G7) und Ernährungssicherheit (SR1). Weitere Textsuchen stehen im Regelindex.</x:t>
        </x:is>
      </x:c>
      <x:c r="C31" s="1"/>
    </x:row>
    <x:row r="32" ht="44" customHeight="1">
      <x:c r="A32" s="13" t="inlineStr">
        <x:is>
          <x:t xml:space="preserve">Berechnungen</x:t>
        </x:is>
      </x:c>
      <x:c r="B32" s="13" t="inlineStr">
        <x:is>
          <x:t xml:space="preserve">Quoten, Prozentpunktdifferenzen und Tabellenzusammenfassungen sind Excel-Formeln. Satzmengen, eindeutige Reden/Tage und Trefferzählungen wurden aus den Quelldateien berechnet.</x:t>
        </x:is>
      </x:c>
      <x:c r="C32" s="1"/>
    </x:row>
    <x:row r="33" ht="44" customHeight="1">
      <x:c r="A33" s="15" t="inlineStr">
        <x:is>
          <x:t xml:space="preserve">Aktualisierung</x:t>
        </x:is>
      </x:c>
      <x:c r="B33" s="15" t="inlineStr">
        <x:is>
          <x:t xml:space="preserve">auswertung/tabellen_neu_berechnen.py berechnet A&amp;E-Zähler, Gesamtplenum-Zahlen und Formelwerte. Die Vorlage liefert Tabellenaufbau, Formeln und Suchregeln.</x:t>
        </x:is>
      </x:c>
      <x:c r="C33" s="1"/>
    </x:row>
    <x:row r="34" ht="44" customHeight="1">
      <x:c r="A34" s="13" t="inlineStr">
        <x:is>
          <x:t xml:space="preserve">Darstellung</x:t>
        </x:is>
      </x:c>
      <x:c r="B34" s="13" t="str">
        <x:v>n.a. = kein sinnvoller Nenner bzw. unterdrückter Individualwert. Null ist eine beobachtete Null. Anteile je Tabelle mit einer oder zwei Nachkommastellen; intern ungerundet.</x:v>
      </x:c>
      <x:c r="C34" s="1"/>
    </x:row>
    <x:row r="35" ht="110" customHeight="1">
      <x:c r="A35" s="34" t="inlineStr">
        <x:is>
          <x:t xml:space="preserve">Prüfumfang</x:t>
        </x:is>
      </x:c>
      <x:c r="B35" s="34" t="inlineStr">
        <x:is>
          <x:t xml:space="preserve">A&amp;E-Zähler aus dem Satzmaster. Gesamtplenum-Zahlen aus der vollständigen Satzbasis und gegen die Referenzwerte geprüft.</x:t>
        </x:is>
      </x:c>
      <x:c r="C35" s="1"/>
    </x:row>
    <x:row r="36" ht="22" customHeight="1">
      <x:c r="A36" s="1"/>
      <x:c r="B36" s="1"/>
      <x:c r="C36" s="1"/>
    </x:row>
    <x:row r="37" ht="22" customHeight="1">
      <x:c r="A37" s="1"/>
      <x:c r="B37" s="1"/>
      <x:c r="C37" s="1"/>
    </x:row>
    <x:row r="38" ht="26" customHeight="1">
      <x:c r="A38" s="10" t="inlineStr">
        <x:is>
          <x:t xml:space="preserve">Kontrollsummen</x:t>
        </x:is>
      </x:c>
      <x:c r="B38" s="1"/>
      <x:c r="C38" s="1"/>
    </x:row>
    <x:row r="39" ht="54" customHeight="1">
      <x:c r="A39" s="11" t="inlineStr">
        <x:is>
          <x:t xml:space="preserve">Prüfung</x:t>
        </x:is>
      </x:c>
      <x:c r="B39" s="12" t="inlineStr">
        <x:is>
          <x:t xml:space="preserve">Ergebnis</x:t>
        </x:is>
      </x:c>
      <x:c r="C39" s="1"/>
    </x:row>
    <x:row r="40" ht="22" customHeight="1">
      <x:c r="A40" s="13" t="inlineStr">
        <x:is>
          <x:t xml:space="preserve">Plenarsätze</x:t>
        </x:is>
      </x:c>
      <x:c r="B40" s="14">
        <x:v>1912729</x:v>
      </x:c>
      <x:c r="C40" s="1"/>
    </x:row>
    <x:row r="41" ht="22" customHeight="1">
      <x:c r="A41" s="15" t="inlineStr">
        <x:is>
          <x:t xml:space="preserve">A&amp;E-Sätze</x:t>
        </x:is>
      </x:c>
      <x:c r="B41" s="16">
        <x:v>25247</x:v>
      </x:c>
      <x:c r="C41" s="1"/>
    </x:row>
    <x:row r="42" ht="22" customHeight="1">
      <x:c r="A42" s="13" t="inlineStr">
        <x:is>
          <x:t xml:space="preserve">Ökologie</x:t>
        </x:is>
      </x:c>
      <x:c r="B42" s="14">
        <x:v>6481</x:v>
      </x:c>
      <x:c r="C42" s="1"/>
    </x:row>
    <x:row r="43" ht="22" customHeight="1">
      <x:c r="A43" s="15" t="inlineStr">
        <x:is>
          <x:t xml:space="preserve">Ökonomie</x:t>
        </x:is>
      </x:c>
      <x:c r="B43" s="16">
        <x:v>5849</x:v>
      </x:c>
      <x:c r="C43" s="1"/>
    </x:row>
    <x:row r="44" ht="22" customHeight="1">
      <x:c r="A44" s="13" t="inlineStr">
        <x:is>
          <x:t xml:space="preserve">S&amp;R</x:t>
        </x:is>
      </x:c>
      <x:c r="B44" s="14">
        <x:v>1048</x:v>
      </x:c>
      <x:c r="C44" s="1"/>
    </x:row>
    <x:row r="45" ht="34" customHeight="1">
      <x:c r="A45" s="15" t="inlineStr">
        <x:is>
          <x:t xml:space="preserve">Preise und Kosten: Sätze</x:t>
        </x:is>
      </x:c>
      <x:c r="B45" s="16">
        <x:v>1554</x:v>
      </x:c>
      <x:c r="C45" s="1"/>
    </x:row>
    <x:row r="46" ht="22" customHeight="1">
      <x:c r="A46" s="13" t="inlineStr">
        <x:is>
          <x:t xml:space="preserve">Agrardiesel: Sätze</x:t>
        </x:is>
      </x:c>
      <x:c r="B46" s="14">
        <x:v>485</x:v>
      </x:c>
      <x:c r="C46" s="1"/>
    </x:row>
    <x:row r="47" ht="22" customHeight="1">
      <x:c r="A47" s="15" t="inlineStr">
        <x:is>
          <x:t xml:space="preserve">Ernährungssicherheit: Sätze</x:t>
        </x:is>
      </x:c>
      <x:c r="B47" s="16">
        <x:v>431</x:v>
      </x:c>
      <x:c r="C47" s="1"/>
    </x:row>
    <x:row r="48" ht="34" customHeight="1">
      <x:c r="A48" s="17" t="inlineStr">
        <x:is>
          <x:t xml:space="preserve">Doppelte Satzkennungen</x:t>
        </x:is>
      </x:c>
      <x:c r="B48" s="18">
        <x:v>0</x:v>
      </x:c>
      <x:c r="C48" s="1"/>
    </x:row>
    <x:row r="49" ht="34" customHeight="1">
      <x:c r="A49"/>
      <x:c r="B49"/>
      <x:c r="C49"/>
    </x:row>
    <x:row r="50" ht="34" customHeight="1">
      <x:c r="A50"/>
      <x:c r="B50"/>
      <x:c r="C50"/>
    </x:row>
    <x:row r="51">
      <x:c r="A51" s="95"/>
      <x:c r="B51" s="95"/>
      <x:c r="C51" s="95"/>
    </x:row>
    <x:row r="52" ht="54" customHeight="1">
      <x:c r="A52" s="121" t="str">
        <x:v>Amtsrollenprüfung</x:v>
      </x:c>
      <x:c r="B52" s="121" t="str">
        <x:v>09_Amtsrollen schließt Amtsbeiträge aus Themenzählern, A&amp;E-Nennern und gemeinsamem Jahreswert aus. Die Hauptauswertung bleibt unverändert.</x:v>
      </x:c>
      <x:c r="C52" s="95"/>
    </x:row>
    <x:row r="53" ht="74" customHeight="1">
      <x:c r="A53" s="95" t="inlineStr">
        <x:is>
          <x:t xml:space="preserve">Reproduktion</x:t>
        </x:is>
      </x:c>
      <x:c r="B53" s="95" t="inlineStr">
        <x:is>
          <x:t xml:space="preserve">Geführter Gesamtablauf: agrarpolitik-bundestag-2018-2025.ipynb. Tabellenberechnung: auswertung/tabellen_neu_berechnen.py (Python-Standardbibliothek). Vorlage: ergebnisse/Datengrundlage.xlsx; Ausgabe separat.</x:t>
        </x:is>
      </x:c>
      <x:c r="C53" s="95"/>
    </x:row>
    <x:row r="54">
      <x:c r="A54" s="43"/>
      <x:c r="B54" s="43"/>
      <x:c r="C54" s="43"/>
    </x:row>
    <x:row r="55" ht="22" customHeight="1">
      <x:c r="A55" s="10" t="str">
        <x:v>Ergänzende Kontrollrechnung (09_Amtsrollen)</x:v>
      </x:c>
      <x:c r="B55" s="43"/>
      <x:c r="C55" s="43"/>
    </x:row>
    <x:row r="56" ht="22" customHeight="1">
      <x:c r="A56" s="11" t="inlineStr">
        <x:is>
          <x:t xml:space="preserve">Gegenstand</x:t>
        </x:is>
      </x:c>
      <x:c r="B56" s="12" t="inlineStr">
        <x:is>
          <x:t xml:space="preserve">Festlegung</x:t>
        </x:is>
      </x:c>
      <x:c r="C56" s="43"/>
    </x:row>
    <x:row r="57" ht="54" customHeight="1">
      <x:c r="A57" s="13" t="inlineStr">
        <x:is>
          <x:t xml:space="preserve">Amtsrollen</x:t>
        </x:is>
      </x:c>
      <x:c r="B57" s="12" t="inlineStr">
        <x:is>
          <x:t xml:space="preserve">Beiträge mit dokumentierter Regierungs- oder anderer Amtsrolle (redner_rolle_kurz oder redner_rolle_lang gefüllt). Ausschluss bei Fraktions-Themenanteilen und gemeinsamem Jahreswert; Politikfeldanteile unverändert.</x:t>
        </x:is>
      </x:c>
      <x:c r="C57" s="43"/>
    </x:row>
    <x:row r="58" ht="22" customHeight="1">
      <x:c r="A58" s="13" t="inlineStr">
        <x:is>
          <x:t xml:space="preserve">Sätze aus Amtsrollen (sechs Fraktionen)</x:t>
        </x:is>
      </x:c>
      <x:c r="B58" s="14">
        <x:v>2656</x:v>
      </x:c>
      <x:c r="C58" s="43"/>
    </x:row>
  </x:sheetData>
  <x:pageMargins left="0.7" right="0.7" top="0.75" bottom="0.75" header="0.3" footer="0.3"/>
</x:worksheet>
</file>